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b075ee31e67213/Desktop/FMIS/4th/New folder/Statistical Consulting/"/>
    </mc:Choice>
  </mc:AlternateContent>
  <xr:revisionPtr revIDLastSave="3" documentId="8_{B2FDBC1E-3A1F-4516-A008-7AB782C5D28B}" xr6:coauthVersionLast="47" xr6:coauthVersionMax="47" xr10:uidLastSave="{874195B4-A1C2-4DB4-9F4F-D1B8D41BBF24}"/>
  <bookViews>
    <workbookView xWindow="-120" yWindow="-120" windowWidth="20730" windowHeight="11160" xr2:uid="{912FCA4B-9041-4423-B81F-9292DCE663C5}"/>
  </bookViews>
  <sheets>
    <sheet name="AVG exchage rate usd" sheetId="1" r:id="rId1"/>
    <sheet name="Sheet1" sheetId="5" r:id="rId2"/>
    <sheet name="gdp" sheetId="6" r:id="rId3"/>
    <sheet name="TBILL" sheetId="4" r:id="rId4"/>
    <sheet name="Import and Export" sheetId="2" r:id="rId5"/>
    <sheet name="Tourism" sheetId="3" r:id="rId6"/>
  </sheets>
  <definedNames>
    <definedName name="_xlnm._FilterDatabase" localSheetId="0" hidden="1">'AVG exchage rate usd'!$A$4:$C$127</definedName>
    <definedName name="_xlnm._FilterDatabase" localSheetId="1" hidden="1">Sheet1!$D$1:$E$11</definedName>
    <definedName name="_xlnm._FilterDatabase" localSheetId="3" hidden="1">TBILL!$M$1:$O$1</definedName>
    <definedName name="y_2015" localSheetId="0">'AVG exchage rate usd'!$A$7</definedName>
    <definedName name="y_2016">'AVG exchage rate usd'!$A$19</definedName>
    <definedName name="y_2017">'AVG exchage rate usd'!$A$31</definedName>
    <definedName name="y_2018">'AVG exchage rate usd'!$A$43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F3" i="5"/>
  <c r="F4" i="5"/>
  <c r="F5" i="5"/>
  <c r="F6" i="5"/>
  <c r="F7" i="5"/>
  <c r="F8" i="5"/>
  <c r="F9" i="5"/>
  <c r="F10" i="5"/>
  <c r="F11" i="5"/>
  <c r="F12" i="5"/>
  <c r="F2" i="5"/>
  <c r="E54" i="1"/>
  <c r="E66" i="1"/>
  <c r="E43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2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2" i="2"/>
  <c r="G2" i="4" l="1" a="1"/>
  <c r="E596" i="4"/>
  <c r="E532" i="4"/>
  <c r="E468" i="4"/>
  <c r="E32" i="4"/>
  <c r="E614" i="4"/>
  <c r="E606" i="4"/>
  <c r="E598" i="4"/>
  <c r="E590" i="4"/>
  <c r="E582" i="4"/>
  <c r="E574" i="4"/>
  <c r="E566" i="4"/>
  <c r="E558" i="4"/>
  <c r="E550" i="4"/>
  <c r="E542" i="4"/>
  <c r="E534" i="4"/>
  <c r="E518" i="4"/>
  <c r="E510" i="4"/>
  <c r="E502" i="4"/>
  <c r="E494" i="4"/>
  <c r="E486" i="4"/>
  <c r="E478" i="4"/>
  <c r="E470" i="4"/>
  <c r="E462" i="4"/>
  <c r="E454" i="4"/>
  <c r="E526" i="4"/>
  <c r="E438" i="4"/>
  <c r="E398" i="4"/>
  <c r="E350" i="4"/>
  <c r="E310" i="4"/>
  <c r="E254" i="4"/>
  <c r="E206" i="4"/>
  <c r="E166" i="4"/>
  <c r="E134" i="4"/>
  <c r="E94" i="4"/>
  <c r="E62" i="4"/>
  <c r="E611" i="4"/>
  <c r="E603" i="4"/>
  <c r="E595" i="4"/>
  <c r="E587" i="4"/>
  <c r="E579" i="4"/>
  <c r="E571" i="4"/>
  <c r="E563" i="4"/>
  <c r="E555" i="4"/>
  <c r="E547" i="4"/>
  <c r="E539" i="4"/>
  <c r="E531" i="4"/>
  <c r="E523" i="4"/>
  <c r="E515" i="4"/>
  <c r="E507" i="4"/>
  <c r="E499" i="4"/>
  <c r="E491" i="4"/>
  <c r="E483" i="4"/>
  <c r="E475" i="4"/>
  <c r="E467" i="4"/>
  <c r="E459" i="4"/>
  <c r="E451" i="4"/>
  <c r="E443" i="4"/>
  <c r="E435" i="4"/>
  <c r="E427" i="4"/>
  <c r="E419" i="4"/>
  <c r="E411" i="4"/>
  <c r="E403" i="4"/>
  <c r="E395" i="4"/>
  <c r="E387" i="4"/>
  <c r="E379" i="4"/>
  <c r="E371" i="4"/>
  <c r="E363" i="4"/>
  <c r="E355" i="4"/>
  <c r="E347" i="4"/>
  <c r="E339" i="4"/>
  <c r="E331" i="4"/>
  <c r="E323" i="4"/>
  <c r="E315" i="4"/>
  <c r="E307" i="4"/>
  <c r="E299" i="4"/>
  <c r="E291" i="4"/>
  <c r="E283" i="4"/>
  <c r="E275" i="4"/>
  <c r="E267" i="4"/>
  <c r="E259" i="4"/>
  <c r="E251" i="4"/>
  <c r="E243" i="4"/>
  <c r="E235" i="4"/>
  <c r="E227" i="4"/>
  <c r="E219" i="4"/>
  <c r="E211" i="4"/>
  <c r="E203" i="4"/>
  <c r="E195" i="4"/>
  <c r="E187" i="4"/>
  <c r="E179" i="4"/>
  <c r="E171" i="4"/>
  <c r="E163" i="4"/>
  <c r="E155" i="4"/>
  <c r="E147" i="4"/>
  <c r="E139" i="4"/>
  <c r="E131" i="4"/>
  <c r="E123" i="4"/>
  <c r="E115" i="4"/>
  <c r="E107" i="4"/>
  <c r="E99" i="4"/>
  <c r="E91" i="4"/>
  <c r="E83" i="4"/>
  <c r="E75" i="4"/>
  <c r="E430" i="4"/>
  <c r="E374" i="4"/>
  <c r="E326" i="4"/>
  <c r="E286" i="4"/>
  <c r="E270" i="4"/>
  <c r="E222" i="4"/>
  <c r="E182" i="4"/>
  <c r="E142" i="4"/>
  <c r="E110" i="4"/>
  <c r="E78" i="4"/>
  <c r="E26" i="4"/>
  <c r="E10" i="4"/>
  <c r="E618" i="4"/>
  <c r="E610" i="4"/>
  <c r="E602" i="4"/>
  <c r="E594" i="4"/>
  <c r="E586" i="4"/>
  <c r="E578" i="4"/>
  <c r="E570" i="4"/>
  <c r="E562" i="4"/>
  <c r="E554" i="4"/>
  <c r="E546" i="4"/>
  <c r="E538" i="4"/>
  <c r="E530" i="4"/>
  <c r="E522" i="4"/>
  <c r="E514" i="4"/>
  <c r="E506" i="4"/>
  <c r="E498" i="4"/>
  <c r="E490" i="4"/>
  <c r="E482" i="4"/>
  <c r="E474" i="4"/>
  <c r="E466" i="4"/>
  <c r="E458" i="4"/>
  <c r="E450" i="4"/>
  <c r="E442" i="4"/>
  <c r="E434" i="4"/>
  <c r="E426" i="4"/>
  <c r="E418" i="4"/>
  <c r="E410" i="4"/>
  <c r="E402" i="4"/>
  <c r="E394" i="4"/>
  <c r="E386" i="4"/>
  <c r="E378" i="4"/>
  <c r="E370" i="4"/>
  <c r="E362" i="4"/>
  <c r="E354" i="4"/>
  <c r="E346" i="4"/>
  <c r="E338" i="4"/>
  <c r="E330" i="4"/>
  <c r="E322" i="4"/>
  <c r="E314" i="4"/>
  <c r="E306" i="4"/>
  <c r="E298" i="4"/>
  <c r="E290" i="4"/>
  <c r="E282" i="4"/>
  <c r="E274" i="4"/>
  <c r="E266" i="4"/>
  <c r="E258" i="4"/>
  <c r="E250" i="4"/>
  <c r="E242" i="4"/>
  <c r="E234" i="4"/>
  <c r="E226" i="4"/>
  <c r="E218" i="4"/>
  <c r="E210" i="4"/>
  <c r="E202" i="4"/>
  <c r="E194" i="4"/>
  <c r="E186" i="4"/>
  <c r="E178" i="4"/>
  <c r="E170" i="4"/>
  <c r="E162" i="4"/>
  <c r="E154" i="4"/>
  <c r="E146" i="4"/>
  <c r="E138" i="4"/>
  <c r="E130" i="4"/>
  <c r="E122" i="4"/>
  <c r="E114" i="4"/>
  <c r="E106" i="4"/>
  <c r="E98" i="4"/>
  <c r="E90" i="4"/>
  <c r="E82" i="4"/>
  <c r="E74" i="4"/>
  <c r="E66" i="4"/>
  <c r="E58" i="4"/>
  <c r="E50" i="4"/>
  <c r="E406" i="4"/>
  <c r="E358" i="4"/>
  <c r="E294" i="4"/>
  <c r="E230" i="4"/>
  <c r="E46" i="4"/>
  <c r="E18" i="4"/>
  <c r="E446" i="4"/>
  <c r="E390" i="4"/>
  <c r="E334" i="4"/>
  <c r="E278" i="4"/>
  <c r="E246" i="4"/>
  <c r="E198" i="4"/>
  <c r="E158" i="4"/>
  <c r="E126" i="4"/>
  <c r="E86" i="4"/>
  <c r="E54" i="4"/>
  <c r="E616" i="4"/>
  <c r="E608" i="4"/>
  <c r="E600" i="4"/>
  <c r="E592" i="4"/>
  <c r="E584" i="4"/>
  <c r="E576" i="4"/>
  <c r="E568" i="4"/>
  <c r="E560" i="4"/>
  <c r="E552" i="4"/>
  <c r="E544" i="4"/>
  <c r="E536" i="4"/>
  <c r="E528" i="4"/>
  <c r="E520" i="4"/>
  <c r="E512" i="4"/>
  <c r="E504" i="4"/>
  <c r="E496" i="4"/>
  <c r="E488" i="4"/>
  <c r="E480" i="4"/>
  <c r="E472" i="4"/>
  <c r="E464" i="4"/>
  <c r="E456" i="4"/>
  <c r="E448" i="4"/>
  <c r="E440" i="4"/>
  <c r="E432" i="4"/>
  <c r="E424" i="4"/>
  <c r="E416" i="4"/>
  <c r="E408" i="4"/>
  <c r="E400" i="4"/>
  <c r="E392" i="4"/>
  <c r="E384" i="4"/>
  <c r="E376" i="4"/>
  <c r="E368" i="4"/>
  <c r="E360" i="4"/>
  <c r="E352" i="4"/>
  <c r="E344" i="4"/>
  <c r="E336" i="4"/>
  <c r="E328" i="4"/>
  <c r="E320" i="4"/>
  <c r="E312" i="4"/>
  <c r="E304" i="4"/>
  <c r="E296" i="4"/>
  <c r="E288" i="4"/>
  <c r="E280" i="4"/>
  <c r="E272" i="4"/>
  <c r="E264" i="4"/>
  <c r="E256" i="4"/>
  <c r="E248" i="4"/>
  <c r="E240" i="4"/>
  <c r="E232" i="4"/>
  <c r="E224" i="4"/>
  <c r="E216" i="4"/>
  <c r="E208" i="4"/>
  <c r="E200" i="4"/>
  <c r="E192" i="4"/>
  <c r="E184" i="4"/>
  <c r="E176" i="4"/>
  <c r="E168" i="4"/>
  <c r="E160" i="4"/>
  <c r="E152" i="4"/>
  <c r="E144" i="4"/>
  <c r="E136" i="4"/>
  <c r="E128" i="4"/>
  <c r="E120" i="4"/>
  <c r="E112" i="4"/>
  <c r="E104" i="4"/>
  <c r="E96" i="4"/>
  <c r="E414" i="4"/>
  <c r="E366" i="4"/>
  <c r="E318" i="4"/>
  <c r="E238" i="4"/>
  <c r="E190" i="4"/>
  <c r="E118" i="4"/>
  <c r="E39" i="4"/>
  <c r="E615" i="4"/>
  <c r="E607" i="4"/>
  <c r="E599" i="4"/>
  <c r="E591" i="4"/>
  <c r="E583" i="4"/>
  <c r="E575" i="4"/>
  <c r="E567" i="4"/>
  <c r="E559" i="4"/>
  <c r="E551" i="4"/>
  <c r="E543" i="4"/>
  <c r="E535" i="4"/>
  <c r="E527" i="4"/>
  <c r="E519" i="4"/>
  <c r="E511" i="4"/>
  <c r="E503" i="4"/>
  <c r="E495" i="4"/>
  <c r="E487" i="4"/>
  <c r="E479" i="4"/>
  <c r="E471" i="4"/>
  <c r="E463" i="4"/>
  <c r="E455" i="4"/>
  <c r="E447" i="4"/>
  <c r="E439" i="4"/>
  <c r="E431" i="4"/>
  <c r="E423" i="4"/>
  <c r="E415" i="4"/>
  <c r="E407" i="4"/>
  <c r="E399" i="4"/>
  <c r="E391" i="4"/>
  <c r="E383" i="4"/>
  <c r="E375" i="4"/>
  <c r="E367" i="4"/>
  <c r="E359" i="4"/>
  <c r="E351" i="4"/>
  <c r="E343" i="4"/>
  <c r="E335" i="4"/>
  <c r="E327" i="4"/>
  <c r="E319" i="4"/>
  <c r="E311" i="4"/>
  <c r="E303" i="4"/>
  <c r="E295" i="4"/>
  <c r="E287" i="4"/>
  <c r="E279" i="4"/>
  <c r="E271" i="4"/>
  <c r="E263" i="4"/>
  <c r="E255" i="4"/>
  <c r="E247" i="4"/>
  <c r="E239" i="4"/>
  <c r="E231" i="4"/>
  <c r="E223" i="4"/>
  <c r="E215" i="4"/>
  <c r="E207" i="4"/>
  <c r="E199" i="4"/>
  <c r="E191" i="4"/>
  <c r="E183" i="4"/>
  <c r="E175" i="4"/>
  <c r="E167" i="4"/>
  <c r="E159" i="4"/>
  <c r="E151" i="4"/>
  <c r="E143" i="4"/>
  <c r="E135" i="4"/>
  <c r="E127" i="4"/>
  <c r="E119" i="4"/>
  <c r="E111" i="4"/>
  <c r="E103" i="4"/>
  <c r="E95" i="4"/>
  <c r="E87" i="4"/>
  <c r="E79" i="4"/>
  <c r="E71" i="4"/>
  <c r="E63" i="4"/>
  <c r="E55" i="4"/>
  <c r="E47" i="4"/>
  <c r="E31" i="4"/>
  <c r="E422" i="4"/>
  <c r="E382" i="4"/>
  <c r="E342" i="4"/>
  <c r="E302" i="4"/>
  <c r="E262" i="4"/>
  <c r="E214" i="4"/>
  <c r="E174" i="4"/>
  <c r="E150" i="4"/>
  <c r="E102" i="4"/>
  <c r="E70" i="4"/>
  <c r="E29" i="4"/>
  <c r="E21" i="4"/>
  <c r="E13" i="4"/>
  <c r="E5" i="4"/>
  <c r="E613" i="4"/>
  <c r="E605" i="4"/>
  <c r="E597" i="4"/>
  <c r="E589" i="4"/>
  <c r="E581" i="4"/>
  <c r="E573" i="4"/>
  <c r="E565" i="4"/>
  <c r="E557" i="4"/>
  <c r="E549" i="4"/>
  <c r="E541" i="4"/>
  <c r="E533" i="4"/>
  <c r="E525" i="4"/>
  <c r="E517" i="4"/>
  <c r="E509" i="4"/>
  <c r="E501" i="4"/>
  <c r="E493" i="4"/>
  <c r="E485" i="4"/>
  <c r="E477" i="4"/>
  <c r="E469" i="4"/>
  <c r="E461" i="4"/>
  <c r="E453" i="4"/>
  <c r="E445" i="4"/>
  <c r="E437" i="4"/>
  <c r="E429" i="4"/>
  <c r="E421" i="4"/>
  <c r="E413" i="4"/>
  <c r="E405" i="4"/>
  <c r="E397" i="4"/>
  <c r="E389" i="4"/>
  <c r="E381" i="4"/>
  <c r="E373" i="4"/>
  <c r="E365" i="4"/>
  <c r="E357" i="4"/>
  <c r="E349" i="4"/>
  <c r="E341" i="4"/>
  <c r="E333" i="4"/>
  <c r="E325" i="4"/>
  <c r="E317" i="4"/>
  <c r="E309" i="4"/>
  <c r="E301" i="4"/>
  <c r="E293" i="4"/>
  <c r="E285" i="4"/>
  <c r="E277" i="4"/>
  <c r="E269" i="4"/>
  <c r="E261" i="4"/>
  <c r="E253" i="4"/>
  <c r="E245" i="4"/>
  <c r="E237" i="4"/>
  <c r="E229" i="4"/>
  <c r="E221" i="4"/>
  <c r="E213" i="4"/>
  <c r="E205" i="4"/>
  <c r="E197" i="4"/>
  <c r="E189" i="4"/>
  <c r="E181" i="4"/>
  <c r="E173" i="4"/>
  <c r="E165" i="4"/>
  <c r="E157" i="4"/>
  <c r="E149" i="4"/>
  <c r="E141" i="4"/>
  <c r="E133" i="4"/>
  <c r="E125" i="4"/>
  <c r="E117" i="4"/>
  <c r="E109" i="4"/>
  <c r="E101" i="4"/>
  <c r="E93" i="4"/>
  <c r="E617" i="4"/>
  <c r="E609" i="4"/>
  <c r="E601" i="4"/>
  <c r="E593" i="4"/>
  <c r="E585" i="4"/>
  <c r="E577" i="4"/>
  <c r="E569" i="4"/>
  <c r="E561" i="4"/>
  <c r="E553" i="4"/>
  <c r="E545" i="4"/>
  <c r="E537" i="4"/>
  <c r="E529" i="4"/>
  <c r="E521" i="4"/>
  <c r="E513" i="4"/>
  <c r="E505" i="4"/>
  <c r="E497" i="4"/>
  <c r="E489" i="4"/>
  <c r="E481" i="4"/>
  <c r="E473" i="4"/>
  <c r="E465" i="4"/>
  <c r="E457" i="4"/>
  <c r="E449" i="4"/>
  <c r="E441" i="4"/>
  <c r="E433" i="4"/>
  <c r="E425" i="4"/>
  <c r="E417" i="4"/>
  <c r="E409" i="4"/>
  <c r="E401" i="4"/>
  <c r="E393" i="4"/>
  <c r="E385" i="4"/>
  <c r="E377" i="4"/>
  <c r="E369" i="4"/>
  <c r="E361" i="4"/>
  <c r="E353" i="4"/>
  <c r="E345" i="4"/>
  <c r="E337" i="4"/>
  <c r="E329" i="4"/>
  <c r="E321" i="4"/>
  <c r="E313" i="4"/>
  <c r="E305" i="4"/>
  <c r="E297" i="4"/>
  <c r="E289" i="4"/>
  <c r="E281" i="4"/>
  <c r="E273" i="4"/>
  <c r="E265" i="4"/>
  <c r="E257" i="4"/>
  <c r="E249" i="4"/>
  <c r="E241" i="4"/>
  <c r="E233" i="4"/>
  <c r="E225" i="4"/>
  <c r="E217" i="4"/>
  <c r="E209" i="4"/>
  <c r="E201" i="4"/>
  <c r="E193" i="4"/>
  <c r="E185" i="4"/>
  <c r="E177" i="4"/>
  <c r="E169" i="4"/>
  <c r="E161" i="4"/>
  <c r="E153" i="4"/>
  <c r="E145" i="4"/>
  <c r="E137" i="4"/>
  <c r="E129" i="4"/>
  <c r="E121" i="4"/>
  <c r="E113" i="4"/>
  <c r="E105" i="4"/>
  <c r="E97" i="4"/>
  <c r="E89" i="4"/>
  <c r="E81" i="4"/>
  <c r="E73" i="4"/>
  <c r="E65" i="4"/>
  <c r="E57" i="4"/>
  <c r="E49" i="4"/>
  <c r="E41" i="4"/>
  <c r="E33" i="4"/>
  <c r="E25" i="4"/>
  <c r="E17" i="4"/>
  <c r="E9" i="4"/>
  <c r="E92" i="4"/>
  <c r="E108" i="4"/>
  <c r="E164" i="4"/>
  <c r="E220" i="4"/>
  <c r="E260" i="4"/>
  <c r="E308" i="4"/>
  <c r="E356" i="4"/>
  <c r="E84" i="4"/>
  <c r="E140" i="4"/>
  <c r="E180" i="4"/>
  <c r="E228" i="4"/>
  <c r="E276" i="4"/>
  <c r="E324" i="4"/>
  <c r="E396" i="4"/>
  <c r="E68" i="4"/>
  <c r="E116" i="4"/>
  <c r="E172" i="4"/>
  <c r="E244" i="4"/>
  <c r="E300" i="4"/>
  <c r="E348" i="4"/>
  <c r="E412" i="4"/>
  <c r="E76" i="4"/>
  <c r="E132" i="4"/>
  <c r="E188" i="4"/>
  <c r="E252" i="4"/>
  <c r="E316" i="4"/>
  <c r="E388" i="4"/>
  <c r="E100" i="4"/>
  <c r="E156" i="4"/>
  <c r="E196" i="4"/>
  <c r="E236" i="4"/>
  <c r="E292" i="4"/>
  <c r="E332" i="4"/>
  <c r="E372" i="4"/>
  <c r="E60" i="4"/>
  <c r="E124" i="4"/>
  <c r="E212" i="4"/>
  <c r="E284" i="4"/>
  <c r="E364" i="4"/>
  <c r="E52" i="4"/>
  <c r="E148" i="4"/>
  <c r="E204" i="4"/>
  <c r="E268" i="4"/>
  <c r="E340" i="4"/>
  <c r="E380" i="4"/>
  <c r="E24" i="4"/>
  <c r="E588" i="4"/>
  <c r="E524" i="4"/>
  <c r="E460" i="4"/>
  <c r="E88" i="4"/>
  <c r="E80" i="4"/>
  <c r="E72" i="4"/>
  <c r="E64" i="4"/>
  <c r="E56" i="4"/>
  <c r="E48" i="4"/>
  <c r="E40" i="4"/>
  <c r="E16" i="4"/>
  <c r="E580" i="4"/>
  <c r="E516" i="4"/>
  <c r="E452" i="4"/>
  <c r="E23" i="4"/>
  <c r="E15" i="4"/>
  <c r="E7" i="4"/>
  <c r="E8" i="4"/>
  <c r="E572" i="4"/>
  <c r="E508" i="4"/>
  <c r="E444" i="4"/>
  <c r="E38" i="4"/>
  <c r="E30" i="4"/>
  <c r="E22" i="4"/>
  <c r="E14" i="4"/>
  <c r="E6" i="4"/>
  <c r="E42" i="4"/>
  <c r="E564" i="4"/>
  <c r="E500" i="4"/>
  <c r="E436" i="4"/>
  <c r="E85" i="4"/>
  <c r="E77" i="4"/>
  <c r="E69" i="4"/>
  <c r="E61" i="4"/>
  <c r="E53" i="4"/>
  <c r="E45" i="4"/>
  <c r="E37" i="4"/>
  <c r="E34" i="4"/>
  <c r="E556" i="4"/>
  <c r="E492" i="4"/>
  <c r="E428" i="4"/>
  <c r="E2" i="4"/>
  <c r="E44" i="4"/>
  <c r="E36" i="4"/>
  <c r="E28" i="4"/>
  <c r="E20" i="4"/>
  <c r="E12" i="4"/>
  <c r="E4" i="4"/>
  <c r="E612" i="4"/>
  <c r="E548" i="4"/>
  <c r="E484" i="4"/>
  <c r="E420" i="4"/>
  <c r="E67" i="4"/>
  <c r="E59" i="4"/>
  <c r="E51" i="4"/>
  <c r="E43" i="4"/>
  <c r="E35" i="4"/>
  <c r="E27" i="4"/>
  <c r="E19" i="4"/>
  <c r="E11" i="4"/>
  <c r="E3" i="4"/>
  <c r="E604" i="4"/>
  <c r="E540" i="4"/>
  <c r="E476" i="4"/>
  <c r="E404" i="4"/>
  <c r="G2" i="4" l="1"/>
  <c r="I2" i="4" s="1" a="1"/>
  <c r="I2" i="4" s="1"/>
  <c r="I3" i="4" a="1"/>
  <c r="I3" i="4" s="1"/>
  <c r="I11" i="4" a="1"/>
  <c r="I11" i="4" s="1"/>
  <c r="I19" i="4" a="1"/>
  <c r="I19" i="4" s="1"/>
  <c r="I27" i="4" a="1"/>
  <c r="I27" i="4" s="1"/>
  <c r="I35" i="4" a="1"/>
  <c r="I35" i="4" s="1"/>
  <c r="I43" i="4" a="1"/>
  <c r="I43" i="4" s="1"/>
  <c r="I51" i="4" a="1"/>
  <c r="I51" i="4" s="1"/>
  <c r="I59" i="4" a="1"/>
  <c r="I59" i="4" s="1"/>
  <c r="I67" i="4" a="1"/>
  <c r="I67" i="4" s="1"/>
  <c r="I75" i="4" a="1"/>
  <c r="I75" i="4" s="1"/>
  <c r="I83" i="4" a="1"/>
  <c r="I83" i="4" s="1"/>
  <c r="I91" i="4" a="1"/>
  <c r="I91" i="4" s="1"/>
  <c r="I99" i="4" a="1"/>
  <c r="I99" i="4" s="1"/>
  <c r="I115" i="4" a="1"/>
  <c r="I115" i="4" s="1"/>
  <c r="I4" i="4" a="1"/>
  <c r="I4" i="4" s="1"/>
  <c r="I12" i="4" a="1"/>
  <c r="I12" i="4" s="1"/>
  <c r="I20" i="4" a="1"/>
  <c r="I20" i="4" s="1"/>
  <c r="I28" i="4" a="1"/>
  <c r="I28" i="4" s="1"/>
  <c r="I36" i="4" a="1"/>
  <c r="I36" i="4" s="1"/>
  <c r="I44" i="4" a="1"/>
  <c r="I44" i="4" s="1"/>
  <c r="I52" i="4" a="1"/>
  <c r="I52" i="4" s="1"/>
  <c r="I60" i="4" a="1"/>
  <c r="I60" i="4" s="1"/>
  <c r="I68" i="4" a="1"/>
  <c r="I68" i="4" s="1"/>
  <c r="I76" i="4" a="1"/>
  <c r="I76" i="4" s="1"/>
  <c r="I84" i="4" a="1"/>
  <c r="I84" i="4" s="1"/>
  <c r="I92" i="4" a="1"/>
  <c r="I92" i="4" s="1"/>
  <c r="I100" i="4" a="1"/>
  <c r="I100" i="4" s="1"/>
  <c r="I108" i="4" a="1"/>
  <c r="I108" i="4" s="1"/>
  <c r="I116" i="4" a="1"/>
  <c r="I116" i="4" s="1"/>
  <c r="I5" i="4" a="1"/>
  <c r="I5" i="4" s="1"/>
  <c r="I13" i="4" a="1"/>
  <c r="I13" i="4" s="1"/>
  <c r="I21" i="4" a="1"/>
  <c r="I21" i="4" s="1"/>
  <c r="I29" i="4" a="1"/>
  <c r="I29" i="4" s="1"/>
  <c r="I37" i="4" a="1"/>
  <c r="I37" i="4" s="1"/>
  <c r="I45" i="4" a="1"/>
  <c r="I45" i="4" s="1"/>
  <c r="I53" i="4" a="1"/>
  <c r="I53" i="4" s="1"/>
  <c r="I61" i="4" a="1"/>
  <c r="I61" i="4" s="1"/>
  <c r="I69" i="4" a="1"/>
  <c r="I69" i="4" s="1"/>
  <c r="I77" i="4" a="1"/>
  <c r="I77" i="4" s="1"/>
  <c r="I85" i="4" a="1"/>
  <c r="I85" i="4" s="1"/>
  <c r="I93" i="4" a="1"/>
  <c r="I93" i="4" s="1"/>
  <c r="I101" i="4" a="1"/>
  <c r="I101" i="4" s="1"/>
  <c r="I109" i="4" a="1"/>
  <c r="I109" i="4" s="1"/>
  <c r="I117" i="4" a="1"/>
  <c r="I117" i="4" s="1"/>
  <c r="I119" i="4" a="1"/>
  <c r="I119" i="4" s="1"/>
  <c r="I6" i="4" a="1"/>
  <c r="I6" i="4" s="1"/>
  <c r="I14" i="4" a="1"/>
  <c r="I14" i="4" s="1"/>
  <c r="I22" i="4" a="1"/>
  <c r="I22" i="4" s="1"/>
  <c r="I30" i="4" a="1"/>
  <c r="I30" i="4" s="1"/>
  <c r="I38" i="4" a="1"/>
  <c r="I38" i="4" s="1"/>
  <c r="I46" i="4" a="1"/>
  <c r="I46" i="4" s="1"/>
  <c r="I54" i="4" a="1"/>
  <c r="I54" i="4" s="1"/>
  <c r="I62" i="4" a="1"/>
  <c r="I62" i="4" s="1"/>
  <c r="I70" i="4" a="1"/>
  <c r="I70" i="4" s="1"/>
  <c r="I78" i="4" a="1"/>
  <c r="I78" i="4" s="1"/>
  <c r="I86" i="4" a="1"/>
  <c r="I86" i="4" s="1"/>
  <c r="I94" i="4" a="1"/>
  <c r="I94" i="4" s="1"/>
  <c r="I102" i="4" a="1"/>
  <c r="I102" i="4" s="1"/>
  <c r="I110" i="4" a="1"/>
  <c r="I110" i="4" s="1"/>
  <c r="I118" i="4" a="1"/>
  <c r="I118" i="4" s="1"/>
  <c r="I7" i="4" a="1"/>
  <c r="I7" i="4" s="1"/>
  <c r="I15" i="4" a="1"/>
  <c r="I15" i="4" s="1"/>
  <c r="I23" i="4" a="1"/>
  <c r="I23" i="4" s="1"/>
  <c r="I31" i="4" a="1"/>
  <c r="I31" i="4" s="1"/>
  <c r="I39" i="4" a="1"/>
  <c r="I39" i="4" s="1"/>
  <c r="I47" i="4" a="1"/>
  <c r="I47" i="4" s="1"/>
  <c r="I55" i="4" a="1"/>
  <c r="I55" i="4" s="1"/>
  <c r="I63" i="4" a="1"/>
  <c r="I63" i="4" s="1"/>
  <c r="I71" i="4" a="1"/>
  <c r="I71" i="4" s="1"/>
  <c r="I79" i="4" a="1"/>
  <c r="I79" i="4" s="1"/>
  <c r="I87" i="4" a="1"/>
  <c r="I87" i="4" s="1"/>
  <c r="I95" i="4" a="1"/>
  <c r="I95" i="4" s="1"/>
  <c r="I103" i="4" a="1"/>
  <c r="I103" i="4" s="1"/>
  <c r="I111" i="4" a="1"/>
  <c r="I111" i="4" s="1"/>
  <c r="I8" i="4" a="1"/>
  <c r="I8" i="4" s="1"/>
  <c r="I16" i="4" a="1"/>
  <c r="I16" i="4" s="1"/>
  <c r="I24" i="4" a="1"/>
  <c r="I24" i="4" s="1"/>
  <c r="I32" i="4" a="1"/>
  <c r="I32" i="4" s="1"/>
  <c r="I40" i="4" a="1"/>
  <c r="I40" i="4" s="1"/>
  <c r="I48" i="4" a="1"/>
  <c r="I48" i="4" s="1"/>
  <c r="I56" i="4" a="1"/>
  <c r="I56" i="4" s="1"/>
  <c r="I64" i="4" a="1"/>
  <c r="I64" i="4" s="1"/>
  <c r="I72" i="4" a="1"/>
  <c r="I72" i="4" s="1"/>
  <c r="I80" i="4" a="1"/>
  <c r="I80" i="4" s="1"/>
  <c r="I88" i="4" a="1"/>
  <c r="I88" i="4" s="1"/>
  <c r="I96" i="4" a="1"/>
  <c r="I96" i="4" s="1"/>
  <c r="I104" i="4" a="1"/>
  <c r="I104" i="4" s="1"/>
  <c r="I112" i="4" a="1"/>
  <c r="I112" i="4" s="1"/>
  <c r="I120" i="4" a="1"/>
  <c r="I120" i="4" s="1"/>
  <c r="I9" i="4" a="1"/>
  <c r="I9" i="4" s="1"/>
  <c r="I17" i="4" a="1"/>
  <c r="I17" i="4" s="1"/>
  <c r="I25" i="4" a="1"/>
  <c r="I25" i="4" s="1"/>
  <c r="I33" i="4" a="1"/>
  <c r="I33" i="4" s="1"/>
  <c r="I41" i="4" a="1"/>
  <c r="I41" i="4" s="1"/>
  <c r="I49" i="4" a="1"/>
  <c r="I49" i="4" s="1"/>
  <c r="I57" i="4" a="1"/>
  <c r="I57" i="4" s="1"/>
  <c r="I65" i="4" a="1"/>
  <c r="I65" i="4" s="1"/>
  <c r="I73" i="4" a="1"/>
  <c r="I73" i="4" s="1"/>
  <c r="I81" i="4" a="1"/>
  <c r="I81" i="4" s="1"/>
  <c r="I89" i="4" a="1"/>
  <c r="I89" i="4" s="1"/>
  <c r="I97" i="4" a="1"/>
  <c r="I97" i="4" s="1"/>
  <c r="I105" i="4" a="1"/>
  <c r="I105" i="4" s="1"/>
  <c r="I113" i="4" a="1"/>
  <c r="I113" i="4" s="1"/>
  <c r="I121" i="4" a="1"/>
  <c r="I121" i="4" s="1"/>
  <c r="I10" i="4" a="1"/>
  <c r="I10" i="4" s="1"/>
  <c r="I18" i="4" a="1"/>
  <c r="I18" i="4" s="1"/>
  <c r="I26" i="4" a="1"/>
  <c r="I26" i="4" s="1"/>
  <c r="I34" i="4" a="1"/>
  <c r="I34" i="4" s="1"/>
  <c r="I42" i="4" a="1"/>
  <c r="I42" i="4" s="1"/>
  <c r="I50" i="4" a="1"/>
  <c r="I50" i="4" s="1"/>
  <c r="I58" i="4" a="1"/>
  <c r="I58" i="4" s="1"/>
  <c r="I66" i="4" a="1"/>
  <c r="I66" i="4" s="1"/>
  <c r="I74" i="4" a="1"/>
  <c r="I74" i="4" s="1"/>
  <c r="I82" i="4" a="1"/>
  <c r="I82" i="4" s="1"/>
  <c r="I90" i="4" a="1"/>
  <c r="I90" i="4" s="1"/>
  <c r="I98" i="4" a="1"/>
  <c r="I98" i="4" s="1"/>
  <c r="I106" i="4" a="1"/>
  <c r="I106" i="4" s="1"/>
  <c r="I114" i="4" a="1"/>
  <c r="I114" i="4" s="1"/>
  <c r="I107" i="4" a="1"/>
  <c r="I10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<sst xmlns="http://schemas.openxmlformats.org/spreadsheetml/2006/main" count="527" uniqueCount="157">
  <si>
    <t>Monthly Average Exchange Rates</t>
  </si>
  <si>
    <t>(Sri Lanka Rupees per Unit of Foreign Currency)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</si>
  <si>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</si>
  <si>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</si>
  <si>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</si>
  <si>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</si>
  <si>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</si>
  <si>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</si>
  <si>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</si>
  <si>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</si>
  <si>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</si>
  <si>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</si>
  <si>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</si>
  <si>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</si>
  <si>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</si>
  <si>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</si>
  <si>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Trade Balance (in USD terms) </t>
  </si>
  <si>
    <t>Item Name</t>
  </si>
  <si>
    <t>2015-Jan</t>
  </si>
  <si>
    <t>2015-Feb</t>
  </si>
  <si>
    <t>2015-Mar</t>
  </si>
  <si>
    <t>2015-Apr</t>
  </si>
  <si>
    <t>2015-May</t>
  </si>
  <si>
    <t>2015-Jun</t>
  </si>
  <si>
    <t>2015-Jul</t>
  </si>
  <si>
    <t>2015-Aug</t>
  </si>
  <si>
    <t>2015-Sep</t>
  </si>
  <si>
    <t>2015-Oct</t>
  </si>
  <si>
    <t>2015-Nov</t>
  </si>
  <si>
    <t>2015-Dec</t>
  </si>
  <si>
    <t>2016-Jan</t>
  </si>
  <si>
    <t>2016-Feb</t>
  </si>
  <si>
    <t>2016-Mar</t>
  </si>
  <si>
    <t>2016-Apr</t>
  </si>
  <si>
    <t>2016-May</t>
  </si>
  <si>
    <t>2016-Jun</t>
  </si>
  <si>
    <t>2016-Jul</t>
  </si>
  <si>
    <t>2016-Aug</t>
  </si>
  <si>
    <t>2016-Sep</t>
  </si>
  <si>
    <t>2016-Oct</t>
  </si>
  <si>
    <t>2016-Nov</t>
  </si>
  <si>
    <t>2016-Dec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</si>
  <si>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</si>
  <si>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</si>
  <si>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</si>
  <si>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</si>
  <si>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</si>
  <si>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</si>
  <si>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</si>
  <si>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</si>
  <si>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</si>
  <si>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</si>
  <si>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</si>
  <si>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</si>
  <si>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</si>
  <si>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</si>
  <si>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</si>
  <si>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</si>
  <si>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</si>
  <si>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</si>
  <si>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</si>
  <si>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</si>
  <si>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</si>
  <si>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</si>
  <si>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</si>
  <si>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</si>
  <si>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</si>
  <si>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</si>
  <si>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</si>
  <si>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</si>
  <si>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</si>
  <si>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</si>
  <si>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</si>
  <si>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</si>
  <si>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</si>
  <si>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</si>
  <si>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</si>
  <si>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</si>
  <si>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</si>
  <si>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</si>
  <si>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</si>
  <si>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</si>
  <si>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</si>
  <si>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</si>
  <si>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</si>
  <si>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</si>
  <si>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</si>
  <si>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</si>
  <si>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</si>
  <si>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</si>
  <si>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</si>
  <si>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</si>
  <si>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</si>
  <si>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</si>
  <si>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</si>
  <si>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</si>
  <si>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</si>
  <si>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</si>
  <si>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</si>
  <si>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</si>
  <si>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</si>
  <si>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</si>
  <si>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</si>
  <si>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</si>
  <si>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</si>
  <si>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</si>
  <si>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</si>
  <si>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</si>
  <si>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</si>
  <si>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</si>
  <si>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</si>
  <si>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</si>
  <si>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</si>
  <si>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</si>
  <si>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</si>
  <si>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</si>
  <si>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</si>
  <si>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</si>
  <si>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</si>
  <si>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</si>
  <si>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</si>
  <si>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</si>
  <si>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</si>
  <si>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</si>
  <si>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</si>
  <si>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</si>
  <si>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</si>
  <si>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</si>
  <si>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</si>
  <si>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</si>
  <si>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</si>
  <si>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</si>
  <si>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</si>
  <si>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</si>
  <si>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</si>
  <si>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</si>
  <si>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</si>
  <si>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</si>
  <si>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</si>
  <si>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Total Tourist Arrivals (number)</t>
  </si>
  <si>
    <t>Tourist Earnings (USD Millions)</t>
  </si>
  <si>
    <t>Total Imports(USD milions)</t>
  </si>
  <si>
    <t>Total Exports(USD milions)</t>
  </si>
  <si>
    <t>91 days</t>
  </si>
  <si>
    <t>-</t>
  </si>
  <si>
    <t>week</t>
  </si>
  <si>
    <t>monthly</t>
  </si>
  <si>
    <t>month</t>
  </si>
  <si>
    <t>year</t>
  </si>
  <si>
    <t>interst rate</t>
  </si>
  <si>
    <t>Exchange Rate USD</t>
  </si>
  <si>
    <t>Interst rate</t>
  </si>
  <si>
    <t>.</t>
  </si>
  <si>
    <t>annual inflaction rate</t>
  </si>
  <si>
    <t>monthly inflaction</t>
  </si>
  <si>
    <t>Inflaction rate</t>
  </si>
  <si>
    <t>monthconvert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</si>
</sst>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8E2F5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3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" fontId="3" fillId="2" borderId="2" xfId="0" applyNumberFormat="1" applyFont="1" applyFill="1" applyBorder="1"/>
    <xf numFmtId="164" fontId="3" fillId="2" borderId="2" xfId="0" applyNumberFormat="1" applyFont="1" applyFill="1" applyBorder="1" applyAlignment="1">
      <alignment horizontal="center"/>
    </xf>
    <xf numFmtId="0" fontId="0" fillId="4" borderId="3" xfId="0" applyFill="1" applyBorder="1" applyAlignment="1">
      <alignment wrapText="1"/>
    </xf>
    <xf numFmtId="0" fontId="0" fillId="4" borderId="0" xfId="0" applyFill="1" applyAlignment="1">
      <alignment wrapText="1"/>
    </xf>
    <xf numFmtId="14" fontId="0" fillId="4" borderId="3" xfId="0" applyNumberFormat="1" applyFill="1" applyBorder="1" applyAlignment="1">
      <alignment wrapText="1"/>
    </xf>
    <xf numFmtId="3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4" fontId="0" fillId="0" borderId="2" xfId="0" applyNumberFormat="1" applyBorder="1" applyAlignment="1">
      <alignment horizontal="left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top" wrapText="1"/>
    </xf>
    <xf numFmtId="0" fontId="5" fillId="0" borderId="0" xfId="0" applyFont="1"/>
    <xf numFmtId="1" fontId="4" fillId="3" borderId="0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" fontId="4" fillId="3" borderId="2" xfId="0" applyNumberFormat="1" applyFont="1" applyFill="1" applyBorder="1" applyAlignment="1">
      <alignment vertical="center"/>
    </xf>
    <xf numFmtId="2" fontId="3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B59A-647B-4EAC-8F04-B718A3B3BC5A}">
  <dimension ref="A1:J127"/>
  <sheetViews>
    <sheetView tabSelected="1" topLeftCell="B1" workbookViewId="0">
      <selection activeCell="D5" sqref="D5"/>
    </sheetView>
  </sheetViews>
  <sheetFormatPr defaultRowHeight="15" x14ac:dyDescent="0.25"/>
  <cols>
    <col min="1" max="1" width="35.28515625" customWidth="1"/>
    <col min="2" max="2" width="51.7109375" customWidth="1"/>
    <col min="3" max="3" width="40.85546875" customWidth="1"/>
    <col min="5" max="5" width="20.42578125" customWidth="1"/>
    <col min="6" max="6" width="23.85546875" customWidth="1"/>
    <col min="7" max="7" width="15.140625" customWidth="1"/>
    <col min="8" max="8" width="14.5703125" customWidth="1"/>
    <col min="9" max="9" width="16" customWidth="1"/>
  </cols>
  <sheetData>
    <row r="1" spans="1:10" x14ac:dyDescent="0.25">
      <c r="A1" s="19" t="s">
        <v>0</v>
      </c>
      <c r="B1" s="19"/>
      <c r="C1" s="19"/>
    </row>
    <row r="2" spans="1:10" x14ac:dyDescent="0.25">
      <c r="A2" s="19" t="s">
        <v>1</v>
      </c>
      <c r="B2" s="19"/>
      <c r="C2" s="19"/>
    </row>
    <row r="4" spans="1:10" ht="15" customHeight="1" x14ac:dyDescent="0.25">
      <c r="A4" s="20" t="s">
        <v>2</v>
      </c>
      <c r="B4" s="21" t="s">
        <v>3</v>
      </c>
      <c r="C4" s="22" t="s">
        <v>150</v>
      </c>
      <c r="E4" s="18" t="s">
        <v>151</v>
      </c>
      <c r="F4" s="18" t="s">
        <v>141</v>
      </c>
      <c r="G4" s="18" t="s">
        <v>142</v>
      </c>
      <c r="H4" s="18" t="s">
        <v>16</v>
      </c>
      <c r="I4" s="23" t="s">
        <v>139</v>
      </c>
      <c r="J4" s="23" t="s">
        <v>140</v>
      </c>
    </row>
    <row r="5" spans="1:10" x14ac:dyDescent="0.25">
      <c r="A5" s="20"/>
      <c r="B5" s="21"/>
      <c r="C5" s="22"/>
      <c r="E5" s="18"/>
      <c r="F5" s="18"/>
      <c r="G5" s="18"/>
      <c r="H5" s="18"/>
      <c r="I5" s="23"/>
      <c r="J5" s="23"/>
    </row>
    <row r="6" spans="1:10" x14ac:dyDescent="0.25">
      <c r="A6" s="20"/>
      <c r="B6" s="21"/>
      <c r="C6" s="22"/>
      <c r="E6" s="18"/>
      <c r="F6" s="18"/>
      <c r="G6" s="18"/>
      <c r="H6" s="18"/>
      <c r="I6" s="23"/>
      <c r="J6" s="23"/>
    </row>
    <row r="7" spans="1:10" x14ac:dyDescent="0.25">
      <c r="A7" s="8">
        <v>2015</v>
      </c>
      <c r="B7" s="9" t="s">
        <v>4</v>
      </c>
      <c r="C7" s="10">
        <v>131.55075263157892</v>
      </c>
      <c r="E7" s="16">
        <v>6.2049999999999992</v>
      </c>
      <c r="F7" s="14">
        <v>1682</v>
      </c>
      <c r="G7" s="15">
        <v>920</v>
      </c>
      <c r="H7" s="15">
        <v>-761.19</v>
      </c>
      <c r="I7" s="14">
        <v>156246</v>
      </c>
      <c r="J7" s="15">
        <v>248.7</v>
      </c>
    </row>
    <row r="8" spans="1:10" x14ac:dyDescent="0.25">
      <c r="A8" s="8">
        <v>2015</v>
      </c>
      <c r="B8" s="9" t="s">
        <v>5</v>
      </c>
      <c r="C8" s="10">
        <v>132.7292823529412</v>
      </c>
      <c r="E8" s="16">
        <v>6.44</v>
      </c>
      <c r="F8" s="14">
        <v>1530</v>
      </c>
      <c r="G8" s="15">
        <v>907</v>
      </c>
      <c r="H8" s="15">
        <v>-622.28</v>
      </c>
      <c r="I8" s="14">
        <v>165541</v>
      </c>
      <c r="J8" s="15">
        <v>263.5</v>
      </c>
    </row>
    <row r="9" spans="1:10" x14ac:dyDescent="0.25">
      <c r="A9" s="8">
        <v>2015</v>
      </c>
      <c r="B9" s="9" t="s">
        <v>6</v>
      </c>
      <c r="C9" s="10">
        <v>132.89895238095241</v>
      </c>
      <c r="E9" s="16">
        <v>6.7219999999999995</v>
      </c>
      <c r="F9" s="14">
        <v>1581</v>
      </c>
      <c r="G9" s="14">
        <v>1068</v>
      </c>
      <c r="H9" s="15">
        <v>-512.82000000000005</v>
      </c>
      <c r="I9" s="14">
        <v>157051</v>
      </c>
      <c r="J9" s="15">
        <v>250</v>
      </c>
    </row>
    <row r="10" spans="1:10" x14ac:dyDescent="0.25">
      <c r="A10" s="8">
        <v>2015</v>
      </c>
      <c r="B10" s="9" t="s">
        <v>7</v>
      </c>
      <c r="C10" s="10">
        <v>132.89925789473688</v>
      </c>
      <c r="E10" s="16">
        <v>6.7866666666666662</v>
      </c>
      <c r="F10" s="14">
        <v>1490</v>
      </c>
      <c r="G10" s="15">
        <v>717</v>
      </c>
      <c r="H10" s="15">
        <v>-773.49</v>
      </c>
      <c r="I10" s="14">
        <v>122217</v>
      </c>
      <c r="J10" s="15">
        <v>194.6</v>
      </c>
    </row>
    <row r="11" spans="1:10" x14ac:dyDescent="0.25">
      <c r="A11" s="8">
        <v>2015</v>
      </c>
      <c r="B11" s="9" t="s">
        <v>8</v>
      </c>
      <c r="C11" s="10">
        <v>133.49602631578949</v>
      </c>
      <c r="E11" s="16">
        <v>6.4450000000000003</v>
      </c>
      <c r="F11" s="14">
        <v>1585</v>
      </c>
      <c r="G11" s="15">
        <v>886</v>
      </c>
      <c r="H11" s="15">
        <v>-699.37</v>
      </c>
      <c r="I11" s="14">
        <v>113529</v>
      </c>
      <c r="J11" s="15">
        <v>180.7</v>
      </c>
    </row>
    <row r="12" spans="1:10" x14ac:dyDescent="0.25">
      <c r="A12" s="8">
        <v>2015</v>
      </c>
      <c r="B12" s="9" t="s">
        <v>9</v>
      </c>
      <c r="C12" s="10">
        <v>133.8952238095238</v>
      </c>
      <c r="E12" s="16">
        <v>6.2</v>
      </c>
      <c r="F12" s="14">
        <v>1679</v>
      </c>
      <c r="G12" s="15">
        <v>946</v>
      </c>
      <c r="H12" s="15">
        <v>-733.18</v>
      </c>
      <c r="I12" s="14">
        <v>115467</v>
      </c>
      <c r="J12" s="15">
        <v>183.8</v>
      </c>
    </row>
    <row r="13" spans="1:10" x14ac:dyDescent="0.25">
      <c r="A13" s="8">
        <v>2015</v>
      </c>
      <c r="B13" s="9" t="s">
        <v>10</v>
      </c>
      <c r="C13" s="10">
        <v>133.68600454545452</v>
      </c>
      <c r="E13" s="16">
        <v>6.0775000000000006</v>
      </c>
      <c r="F13" s="14">
        <v>1534</v>
      </c>
      <c r="G13" s="15">
        <v>937</v>
      </c>
      <c r="H13" s="15">
        <v>-596.75</v>
      </c>
      <c r="I13" s="14">
        <v>175804</v>
      </c>
      <c r="J13" s="15">
        <v>279.89999999999998</v>
      </c>
    </row>
    <row r="14" spans="1:10" x14ac:dyDescent="0.25">
      <c r="A14" s="8">
        <v>2015</v>
      </c>
      <c r="B14" s="9" t="s">
        <v>11</v>
      </c>
      <c r="C14" s="10">
        <v>133.88293333333337</v>
      </c>
      <c r="E14" s="16">
        <v>6.104000000000001</v>
      </c>
      <c r="F14" s="14">
        <v>1523</v>
      </c>
      <c r="G14" s="15">
        <v>802</v>
      </c>
      <c r="H14" s="15">
        <v>-721.27</v>
      </c>
      <c r="I14" s="14">
        <v>166610</v>
      </c>
      <c r="J14" s="15">
        <v>265.2</v>
      </c>
    </row>
    <row r="15" spans="1:10" x14ac:dyDescent="0.25">
      <c r="A15" s="8">
        <v>2015</v>
      </c>
      <c r="B15" s="9" t="s">
        <v>12</v>
      </c>
      <c r="C15" s="10">
        <v>138.87692857142861</v>
      </c>
      <c r="E15" s="16">
        <v>6.39</v>
      </c>
      <c r="F15" s="14">
        <v>1583</v>
      </c>
      <c r="G15" s="15">
        <v>853</v>
      </c>
      <c r="H15" s="15">
        <v>-729.53</v>
      </c>
      <c r="I15" s="14">
        <v>143374</v>
      </c>
      <c r="J15" s="15">
        <v>228.2</v>
      </c>
    </row>
    <row r="16" spans="1:10" x14ac:dyDescent="0.25">
      <c r="A16" s="8">
        <v>2015</v>
      </c>
      <c r="B16" s="9" t="s">
        <v>13</v>
      </c>
      <c r="C16" s="10">
        <v>140.89449999999999</v>
      </c>
      <c r="E16" s="16">
        <v>6.8450000000000006</v>
      </c>
      <c r="F16" s="14">
        <v>1638</v>
      </c>
      <c r="G16" s="15">
        <v>851</v>
      </c>
      <c r="H16" s="15">
        <v>-787.53</v>
      </c>
      <c r="I16" s="14">
        <v>132280</v>
      </c>
      <c r="J16" s="15">
        <v>210.6</v>
      </c>
    </row>
    <row r="17" spans="1:10" x14ac:dyDescent="0.25">
      <c r="A17" s="8">
        <v>2015</v>
      </c>
      <c r="B17" s="9" t="s">
        <v>14</v>
      </c>
      <c r="C17" s="10">
        <v>142.02476315789471</v>
      </c>
      <c r="E17" s="16">
        <v>5.9050000000000002</v>
      </c>
      <c r="F17" s="14">
        <v>1465</v>
      </c>
      <c r="G17" s="15">
        <v>838</v>
      </c>
      <c r="H17" s="15">
        <v>-626.46</v>
      </c>
      <c r="I17" s="14">
        <v>144147</v>
      </c>
      <c r="J17" s="15">
        <v>229.5</v>
      </c>
    </row>
    <row r="18" spans="1:10" ht="15.75" customHeight="1" x14ac:dyDescent="0.25">
      <c r="A18" s="8">
        <v>2015</v>
      </c>
      <c r="B18" s="9" t="s">
        <v>15</v>
      </c>
      <c r="C18" s="10">
        <v>143.44832857142853</v>
      </c>
      <c r="E18" s="16">
        <v>5.7780000000000005</v>
      </c>
      <c r="F18" s="14">
        <v>1645</v>
      </c>
      <c r="G18" s="15">
        <v>821</v>
      </c>
      <c r="H18" s="15">
        <v>-824.23</v>
      </c>
      <c r="I18" s="14">
        <v>206114</v>
      </c>
      <c r="J18" s="15">
        <v>341.6</v>
      </c>
    </row>
    <row r="19" spans="1:10" x14ac:dyDescent="0.25">
      <c r="A19" s="8">
        <v>2016</v>
      </c>
      <c r="B19" s="9" t="s">
        <v>4</v>
      </c>
      <c r="C19" s="10">
        <v>143.94025499999998</v>
      </c>
      <c r="E19" s="16">
        <v>8.6425000000000001</v>
      </c>
      <c r="F19" s="17">
        <v>1589.1</v>
      </c>
      <c r="G19" s="15">
        <v>898.6</v>
      </c>
      <c r="H19" s="15">
        <v>-690.53</v>
      </c>
      <c r="I19" s="14">
        <v>194280</v>
      </c>
      <c r="J19" s="15">
        <v>333.3</v>
      </c>
    </row>
    <row r="20" spans="1:10" x14ac:dyDescent="0.25">
      <c r="A20" s="8">
        <v>2016</v>
      </c>
      <c r="B20" s="9" t="s">
        <v>5</v>
      </c>
      <c r="C20" s="10">
        <v>143.92836315789472</v>
      </c>
      <c r="E20" s="16">
        <v>8.6</v>
      </c>
      <c r="F20" s="17">
        <v>1439.3</v>
      </c>
      <c r="G20" s="15">
        <v>891.6</v>
      </c>
      <c r="H20" s="15">
        <v>-547.71</v>
      </c>
      <c r="I20" s="14">
        <v>197697</v>
      </c>
      <c r="J20" s="15">
        <v>339.2</v>
      </c>
    </row>
    <row r="21" spans="1:10" x14ac:dyDescent="0.25">
      <c r="A21" s="8">
        <v>2016</v>
      </c>
      <c r="B21" s="9" t="s">
        <v>6</v>
      </c>
      <c r="C21" s="10">
        <v>143.95937500000002</v>
      </c>
      <c r="E21" s="16">
        <v>8.5749999999999993</v>
      </c>
      <c r="F21" s="17">
        <v>1566</v>
      </c>
      <c r="G21" s="15">
        <v>949</v>
      </c>
      <c r="H21" s="15">
        <v>-617.02</v>
      </c>
      <c r="I21" s="14">
        <v>192841</v>
      </c>
      <c r="J21" s="15">
        <v>330.8</v>
      </c>
    </row>
    <row r="22" spans="1:10" x14ac:dyDescent="0.25">
      <c r="A22" s="8">
        <v>2016</v>
      </c>
      <c r="B22" s="9" t="s">
        <v>7</v>
      </c>
      <c r="C22" s="10">
        <v>143.90013333333337</v>
      </c>
      <c r="E22" s="16">
        <v>8.76</v>
      </c>
      <c r="F22" s="17">
        <v>1460.9</v>
      </c>
      <c r="G22" s="15">
        <v>710.4</v>
      </c>
      <c r="H22" s="15">
        <v>-750.5</v>
      </c>
      <c r="I22" s="14">
        <v>136367</v>
      </c>
      <c r="J22" s="15">
        <v>234</v>
      </c>
    </row>
    <row r="23" spans="1:10" x14ac:dyDescent="0.25">
      <c r="A23" s="8">
        <v>2016</v>
      </c>
      <c r="B23" s="9" t="s">
        <v>8</v>
      </c>
      <c r="C23" s="10">
        <v>145.65021999999999</v>
      </c>
      <c r="E23" s="16">
        <v>9.0124999999999993</v>
      </c>
      <c r="F23" s="17">
        <v>1589.8</v>
      </c>
      <c r="G23" s="15">
        <v>780.1</v>
      </c>
      <c r="H23" s="15">
        <v>-809.71</v>
      </c>
      <c r="I23" s="14">
        <v>125044</v>
      </c>
      <c r="J23" s="15">
        <v>214.5</v>
      </c>
    </row>
    <row r="24" spans="1:10" x14ac:dyDescent="0.25">
      <c r="A24" s="8">
        <v>2016</v>
      </c>
      <c r="B24" s="9" t="s">
        <v>9</v>
      </c>
      <c r="C24" s="10">
        <v>145.28357272727271</v>
      </c>
      <c r="E24" s="16">
        <v>8.8500000000000014</v>
      </c>
      <c r="F24" s="17">
        <v>1675.8</v>
      </c>
      <c r="G24" s="15">
        <v>900.6</v>
      </c>
      <c r="H24" s="15">
        <v>-775.24</v>
      </c>
      <c r="I24" s="14">
        <v>118038</v>
      </c>
      <c r="J24" s="15">
        <v>202.5</v>
      </c>
    </row>
    <row r="25" spans="1:10" x14ac:dyDescent="0.25">
      <c r="A25" s="8">
        <v>2016</v>
      </c>
      <c r="B25" s="9" t="s">
        <v>10</v>
      </c>
      <c r="C25" s="10">
        <v>145.40699473684211</v>
      </c>
      <c r="E25" s="16">
        <v>8.84</v>
      </c>
      <c r="F25" s="17">
        <v>1432.8</v>
      </c>
      <c r="G25" s="15">
        <v>891.5</v>
      </c>
      <c r="H25" s="15">
        <v>-541.25</v>
      </c>
      <c r="I25" s="14">
        <v>209351</v>
      </c>
      <c r="J25" s="15">
        <v>359.2</v>
      </c>
    </row>
    <row r="26" spans="1:10" x14ac:dyDescent="0.25">
      <c r="A26" s="8">
        <v>2016</v>
      </c>
      <c r="B26" s="9" t="s">
        <v>11</v>
      </c>
      <c r="C26" s="10">
        <v>145.60095454545453</v>
      </c>
      <c r="E26" s="16">
        <v>8.6300000000000008</v>
      </c>
      <c r="F26" s="17">
        <v>1649.1</v>
      </c>
      <c r="G26" s="15">
        <v>866.3</v>
      </c>
      <c r="H26" s="15">
        <v>-782.78</v>
      </c>
      <c r="I26" s="14">
        <v>186288</v>
      </c>
      <c r="J26" s="15">
        <v>319.60000000000002</v>
      </c>
    </row>
    <row r="27" spans="1:10" x14ac:dyDescent="0.25">
      <c r="A27" s="8">
        <v>2016</v>
      </c>
      <c r="B27" s="9" t="s">
        <v>12</v>
      </c>
      <c r="C27" s="10">
        <v>145.78487999999999</v>
      </c>
      <c r="E27" s="16">
        <v>8.5440000000000005</v>
      </c>
      <c r="F27" s="17">
        <v>1542.9</v>
      </c>
      <c r="G27" s="15">
        <v>897.9</v>
      </c>
      <c r="H27" s="15">
        <v>-610.38</v>
      </c>
      <c r="I27" s="14">
        <v>148499</v>
      </c>
      <c r="J27" s="15">
        <v>254.8</v>
      </c>
    </row>
    <row r="28" spans="1:10" x14ac:dyDescent="0.25">
      <c r="A28" s="8">
        <v>2016</v>
      </c>
      <c r="B28" s="9" t="s">
        <v>13</v>
      </c>
      <c r="C28" s="10">
        <v>146.8723</v>
      </c>
      <c r="E28" s="16">
        <v>7.99</v>
      </c>
      <c r="F28" s="17">
        <v>1906.2</v>
      </c>
      <c r="G28" s="15">
        <v>855</v>
      </c>
      <c r="H28" s="15">
        <v>-868.48</v>
      </c>
      <c r="I28" s="14">
        <v>150419</v>
      </c>
      <c r="J28" s="15">
        <v>258.10000000000002</v>
      </c>
    </row>
    <row r="29" spans="1:10" x14ac:dyDescent="0.25">
      <c r="A29" s="8">
        <v>2016</v>
      </c>
      <c r="B29" s="9" t="s">
        <v>14</v>
      </c>
      <c r="C29" s="10">
        <v>147.77096666666662</v>
      </c>
      <c r="E29" s="16">
        <v>7.0749999999999993</v>
      </c>
      <c r="F29" s="17">
        <v>1732.1</v>
      </c>
      <c r="G29" s="15">
        <v>809.7</v>
      </c>
      <c r="H29" s="15">
        <v>-922.43</v>
      </c>
      <c r="I29" s="14">
        <v>167217</v>
      </c>
      <c r="J29" s="15">
        <v>286.89999999999998</v>
      </c>
    </row>
    <row r="30" spans="1:10" ht="15.75" customHeight="1" x14ac:dyDescent="0.25">
      <c r="A30" s="8">
        <v>2016</v>
      </c>
      <c r="B30" s="9" t="s">
        <v>15</v>
      </c>
      <c r="C30" s="10">
        <v>148.88199473684213</v>
      </c>
      <c r="E30" s="16">
        <v>6.6066666666666665</v>
      </c>
      <c r="F30" s="17">
        <v>1816.1</v>
      </c>
      <c r="G30" s="15">
        <v>859</v>
      </c>
      <c r="H30" s="15">
        <v>-957.06</v>
      </c>
      <c r="I30" s="14">
        <v>224791</v>
      </c>
      <c r="J30" s="15">
        <v>385.7</v>
      </c>
    </row>
    <row r="31" spans="1:10" x14ac:dyDescent="0.25">
      <c r="A31" s="8">
        <v>2017</v>
      </c>
      <c r="B31" s="9" t="s">
        <v>4</v>
      </c>
      <c r="C31" s="10">
        <v>150.09458095238099</v>
      </c>
      <c r="E31" s="16">
        <v>7.83</v>
      </c>
      <c r="F31" s="17">
        <v>1798.9</v>
      </c>
      <c r="G31" s="15">
        <v>864.7</v>
      </c>
      <c r="H31" s="15">
        <v>-934.23</v>
      </c>
      <c r="I31" s="14">
        <v>219360</v>
      </c>
      <c r="J31" s="15">
        <v>406.81</v>
      </c>
    </row>
    <row r="32" spans="1:10" x14ac:dyDescent="0.25">
      <c r="A32" s="8">
        <v>2017</v>
      </c>
      <c r="B32" s="9" t="s">
        <v>5</v>
      </c>
      <c r="C32" s="10">
        <v>150.81730555555558</v>
      </c>
      <c r="E32" s="16">
        <v>8.5120000000000005</v>
      </c>
      <c r="F32" s="17">
        <v>1611.2</v>
      </c>
      <c r="G32" s="15">
        <v>867.8</v>
      </c>
      <c r="H32" s="15">
        <v>-743.35</v>
      </c>
      <c r="I32" s="14">
        <v>197517</v>
      </c>
      <c r="J32" s="15">
        <v>366.3</v>
      </c>
    </row>
    <row r="33" spans="1:10" x14ac:dyDescent="0.25">
      <c r="A33" s="8">
        <v>2017</v>
      </c>
      <c r="B33" s="9" t="s">
        <v>6</v>
      </c>
      <c r="C33" s="10">
        <v>151.42749565217389</v>
      </c>
      <c r="E33" s="16">
        <v>8.7766666666666655</v>
      </c>
      <c r="F33" s="17">
        <v>1869.3</v>
      </c>
      <c r="G33" s="17">
        <v>1041.8</v>
      </c>
      <c r="H33" s="15">
        <v>-827.5</v>
      </c>
      <c r="I33" s="14">
        <v>188076</v>
      </c>
      <c r="J33" s="15">
        <v>348.79</v>
      </c>
    </row>
    <row r="34" spans="1:10" x14ac:dyDescent="0.25">
      <c r="A34" s="8">
        <v>2017</v>
      </c>
      <c r="B34" s="9" t="s">
        <v>7</v>
      </c>
      <c r="C34" s="10">
        <v>151.75951764705886</v>
      </c>
      <c r="E34" s="16">
        <v>8.7100000000000009</v>
      </c>
      <c r="F34" s="17">
        <v>1603.9</v>
      </c>
      <c r="G34" s="15">
        <v>794.7</v>
      </c>
      <c r="H34" s="15">
        <v>-809.22</v>
      </c>
      <c r="I34" s="14">
        <v>160249</v>
      </c>
      <c r="J34" s="15">
        <v>297.19</v>
      </c>
    </row>
    <row r="35" spans="1:10" x14ac:dyDescent="0.25">
      <c r="A35" s="8">
        <v>2017</v>
      </c>
      <c r="B35" s="9" t="s">
        <v>8</v>
      </c>
      <c r="C35" s="10">
        <v>152.33442500000001</v>
      </c>
      <c r="E35" s="16">
        <v>8.9499999999999993</v>
      </c>
      <c r="F35" s="17">
        <v>1726.8</v>
      </c>
      <c r="G35" s="15">
        <v>841.2</v>
      </c>
      <c r="H35" s="15">
        <v>-883.5</v>
      </c>
      <c r="I35" s="14">
        <v>121891</v>
      </c>
      <c r="J35" s="15">
        <v>226.05</v>
      </c>
    </row>
    <row r="36" spans="1:10" x14ac:dyDescent="0.25">
      <c r="A36" s="8">
        <v>2017</v>
      </c>
      <c r="B36" s="9" t="s">
        <v>9</v>
      </c>
      <c r="C36" s="10">
        <v>152.83071999999999</v>
      </c>
      <c r="E36" s="16">
        <v>9.5500000000000007</v>
      </c>
      <c r="F36" s="17">
        <v>1540.9</v>
      </c>
      <c r="G36" s="15">
        <v>987.3</v>
      </c>
      <c r="H36" s="15">
        <v>-553.63</v>
      </c>
      <c r="I36" s="14">
        <v>123351</v>
      </c>
      <c r="J36" s="15">
        <v>228.76</v>
      </c>
    </row>
    <row r="37" spans="1:10" x14ac:dyDescent="0.25">
      <c r="A37" s="8">
        <v>2017</v>
      </c>
      <c r="B37" s="9" t="s">
        <v>10</v>
      </c>
      <c r="C37" s="10">
        <v>153.66600476190482</v>
      </c>
      <c r="E37" s="16">
        <v>9.6020000000000003</v>
      </c>
      <c r="F37" s="17">
        <v>1591.1</v>
      </c>
      <c r="G37" s="17">
        <v>1014.9</v>
      </c>
      <c r="H37" s="15">
        <v>-575.95000000000005</v>
      </c>
      <c r="I37" s="14">
        <v>205482</v>
      </c>
      <c r="J37" s="15">
        <v>381.07</v>
      </c>
    </row>
    <row r="38" spans="1:10" x14ac:dyDescent="0.25">
      <c r="A38" s="8">
        <v>2017</v>
      </c>
      <c r="B38" s="9" t="s">
        <v>11</v>
      </c>
      <c r="C38" s="10">
        <v>153.19295454545454</v>
      </c>
      <c r="E38" s="16">
        <v>9.6199999999999992</v>
      </c>
      <c r="F38" s="17">
        <v>1856.9</v>
      </c>
      <c r="G38" s="17">
        <v>1000.6</v>
      </c>
      <c r="H38" s="15">
        <v>-856.26</v>
      </c>
      <c r="I38" s="14">
        <v>190928</v>
      </c>
      <c r="J38" s="15">
        <v>354.08</v>
      </c>
    </row>
    <row r="39" spans="1:10" x14ac:dyDescent="0.25">
      <c r="A39" s="8">
        <v>2017</v>
      </c>
      <c r="B39" s="9" t="s">
        <v>12</v>
      </c>
      <c r="C39" s="10">
        <v>152.89738421052633</v>
      </c>
      <c r="E39" s="16">
        <v>9.7066666666666688</v>
      </c>
      <c r="F39" s="17">
        <v>1666.7</v>
      </c>
      <c r="G39" s="17">
        <v>1011</v>
      </c>
      <c r="H39" s="15">
        <v>-655.63</v>
      </c>
      <c r="I39" s="14">
        <v>145077</v>
      </c>
      <c r="J39" s="15">
        <v>269.05</v>
      </c>
    </row>
    <row r="40" spans="1:10" x14ac:dyDescent="0.25">
      <c r="A40" s="8">
        <v>2017</v>
      </c>
      <c r="B40" s="9" t="s">
        <v>13</v>
      </c>
      <c r="C40" s="10">
        <v>153.52615500000002</v>
      </c>
      <c r="E40" s="16">
        <v>9.5125000000000011</v>
      </c>
      <c r="F40" s="17">
        <v>1727.2</v>
      </c>
      <c r="G40" s="15">
        <v>975.6</v>
      </c>
      <c r="H40" s="15">
        <v>-751.66</v>
      </c>
      <c r="I40" s="14">
        <v>152429</v>
      </c>
      <c r="J40" s="15">
        <v>282.68</v>
      </c>
    </row>
    <row r="41" spans="1:10" x14ac:dyDescent="0.25">
      <c r="A41" s="8">
        <v>2017</v>
      </c>
      <c r="B41" s="9" t="s">
        <v>14</v>
      </c>
      <c r="C41" s="10">
        <v>153.65987142857139</v>
      </c>
      <c r="E41" s="16">
        <v>9.1950000000000003</v>
      </c>
      <c r="F41" s="17">
        <v>1940.4</v>
      </c>
      <c r="G41" s="15">
        <v>940.9</v>
      </c>
      <c r="H41" s="15">
        <v>-999.45</v>
      </c>
      <c r="I41" s="14">
        <v>167511</v>
      </c>
      <c r="J41" s="15">
        <v>310.64999999999998</v>
      </c>
    </row>
    <row r="42" spans="1:10" ht="15.75" customHeight="1" x14ac:dyDescent="0.25">
      <c r="A42" s="8">
        <v>2017</v>
      </c>
      <c r="B42" s="9" t="s">
        <v>15</v>
      </c>
      <c r="C42" s="10">
        <v>153.15055263157896</v>
      </c>
      <c r="E42" s="16">
        <v>8.94</v>
      </c>
      <c r="F42" s="17">
        <v>2048.5</v>
      </c>
      <c r="G42" s="17">
        <v>1019.5</v>
      </c>
      <c r="H42" s="17">
        <v>-1029</v>
      </c>
      <c r="I42" s="14">
        <v>244536</v>
      </c>
      <c r="J42" s="15">
        <v>453.5</v>
      </c>
    </row>
    <row r="43" spans="1:10" x14ac:dyDescent="0.25">
      <c r="A43" s="8">
        <v>2018</v>
      </c>
      <c r="B43" s="9" t="s">
        <v>4</v>
      </c>
      <c r="C43" s="10">
        <v>153.80158499999999</v>
      </c>
      <c r="E43" s="16">
        <f>AVERAGE(E42,E44)</f>
        <v>8.1862499999999994</v>
      </c>
      <c r="F43" s="17">
        <v>2014.5</v>
      </c>
      <c r="G43" s="15">
        <v>965.4</v>
      </c>
      <c r="H43" s="17">
        <v>-1049.1199999999999</v>
      </c>
      <c r="I43" s="14">
        <v>238924</v>
      </c>
      <c r="J43" s="15">
        <v>443.09</v>
      </c>
    </row>
    <row r="44" spans="1:10" x14ac:dyDescent="0.25">
      <c r="A44" s="8">
        <v>2018</v>
      </c>
      <c r="B44" s="9" t="s">
        <v>5</v>
      </c>
      <c r="C44" s="10">
        <v>154.85786666666667</v>
      </c>
      <c r="E44" s="16">
        <v>7.4324999999999992</v>
      </c>
      <c r="F44" s="17">
        <v>1978</v>
      </c>
      <c r="G44" s="15">
        <v>915.7</v>
      </c>
      <c r="H44" s="17">
        <v>-1062.3399999999999</v>
      </c>
      <c r="I44" s="14">
        <v>235618</v>
      </c>
      <c r="J44" s="15">
        <v>436.96</v>
      </c>
    </row>
    <row r="45" spans="1:10" x14ac:dyDescent="0.25">
      <c r="A45" s="8">
        <v>2018</v>
      </c>
      <c r="B45" s="9" t="s">
        <v>6</v>
      </c>
      <c r="C45" s="10">
        <v>155.72883499999995</v>
      </c>
      <c r="E45" s="16">
        <v>6.253333333333333</v>
      </c>
      <c r="F45" s="17">
        <v>1978.5</v>
      </c>
      <c r="G45" s="17">
        <v>1107.7</v>
      </c>
      <c r="H45" s="15">
        <v>-870.86</v>
      </c>
      <c r="I45" s="14">
        <v>233382</v>
      </c>
      <c r="J45" s="15">
        <v>438.07</v>
      </c>
    </row>
    <row r="46" spans="1:10" x14ac:dyDescent="0.25">
      <c r="A46" s="8">
        <v>2018</v>
      </c>
      <c r="B46" s="9" t="s">
        <v>7</v>
      </c>
      <c r="C46" s="10">
        <v>156.1354</v>
      </c>
      <c r="E46" s="16">
        <v>5.5200000000000005</v>
      </c>
      <c r="F46" s="17">
        <v>1793.6</v>
      </c>
      <c r="G46" s="15">
        <v>795.1</v>
      </c>
      <c r="H46" s="15">
        <v>-998.57</v>
      </c>
      <c r="I46" s="14">
        <v>180429</v>
      </c>
      <c r="J46" s="15">
        <v>338.67</v>
      </c>
    </row>
    <row r="47" spans="1:10" x14ac:dyDescent="0.25">
      <c r="A47" s="8">
        <v>2018</v>
      </c>
      <c r="B47" s="9" t="s">
        <v>8</v>
      </c>
      <c r="C47" s="10">
        <v>157.89936666666665</v>
      </c>
      <c r="E47" s="16">
        <v>8.11</v>
      </c>
      <c r="F47" s="17">
        <v>1857</v>
      </c>
      <c r="G47" s="15">
        <v>923.8</v>
      </c>
      <c r="H47" s="15">
        <v>-933.2</v>
      </c>
      <c r="I47" s="14">
        <v>129466</v>
      </c>
      <c r="J47" s="15">
        <v>243.01</v>
      </c>
    </row>
    <row r="48" spans="1:10" x14ac:dyDescent="0.25">
      <c r="A48" s="8">
        <v>2018</v>
      </c>
      <c r="B48" s="9" t="s">
        <v>9</v>
      </c>
      <c r="C48" s="10">
        <v>159.07105789473684</v>
      </c>
      <c r="E48" s="16">
        <v>8.3025000000000002</v>
      </c>
      <c r="F48" s="17">
        <v>1819.5</v>
      </c>
      <c r="G48" s="17">
        <v>1024.4000000000001</v>
      </c>
      <c r="H48" s="15">
        <v>-795.11</v>
      </c>
      <c r="I48" s="14">
        <v>146828</v>
      </c>
      <c r="J48" s="15">
        <v>275.60000000000002</v>
      </c>
    </row>
    <row r="49" spans="1:10" x14ac:dyDescent="0.25">
      <c r="A49" s="8">
        <v>2018</v>
      </c>
      <c r="B49" s="9" t="s">
        <v>10</v>
      </c>
      <c r="C49" s="10">
        <v>159.33745714285712</v>
      </c>
      <c r="E49" s="16">
        <v>8.3350000000000009</v>
      </c>
      <c r="F49" s="17">
        <v>1754.5</v>
      </c>
      <c r="G49" s="17">
        <v>1073.2</v>
      </c>
      <c r="H49" s="15">
        <v>-681.3</v>
      </c>
      <c r="I49" s="14">
        <v>217829</v>
      </c>
      <c r="J49" s="15">
        <v>408.87</v>
      </c>
    </row>
    <row r="50" spans="1:10" x14ac:dyDescent="0.25">
      <c r="A50" s="8">
        <v>2018</v>
      </c>
      <c r="B50" s="9" t="s">
        <v>11</v>
      </c>
      <c r="C50" s="10">
        <v>160.35386363636363</v>
      </c>
      <c r="E50" s="16">
        <v>8.27</v>
      </c>
      <c r="F50" s="17">
        <v>1887.12</v>
      </c>
      <c r="G50" s="17">
        <v>1037.3599999999999</v>
      </c>
      <c r="H50" s="15">
        <v>-849.76</v>
      </c>
      <c r="I50" s="14">
        <v>200359</v>
      </c>
      <c r="J50" s="15">
        <v>376.08</v>
      </c>
    </row>
    <row r="51" spans="1:10" x14ac:dyDescent="0.25">
      <c r="A51" s="8">
        <v>2018</v>
      </c>
      <c r="B51" s="9" t="s">
        <v>12</v>
      </c>
      <c r="C51" s="10">
        <v>164.41525789473681</v>
      </c>
      <c r="E51" s="16">
        <v>8.125</v>
      </c>
      <c r="F51" s="17">
        <v>1768.41</v>
      </c>
      <c r="G51" s="17">
        <v>1055.21</v>
      </c>
      <c r="H51" s="15">
        <v>-713.2</v>
      </c>
      <c r="I51" s="14">
        <v>149087</v>
      </c>
      <c r="J51" s="15">
        <v>279.83999999999997</v>
      </c>
    </row>
    <row r="52" spans="1:10" x14ac:dyDescent="0.25">
      <c r="A52" s="8">
        <v>2018</v>
      </c>
      <c r="B52" s="9" t="s">
        <v>13</v>
      </c>
      <c r="C52" s="10">
        <v>171.2248772727273</v>
      </c>
      <c r="E52" s="16">
        <v>8.245000000000001</v>
      </c>
      <c r="F52" s="17">
        <v>1882.47</v>
      </c>
      <c r="G52" s="15">
        <v>979.1</v>
      </c>
      <c r="H52" s="15">
        <v>-903.38</v>
      </c>
      <c r="I52" s="14">
        <v>153123</v>
      </c>
      <c r="J52" s="15">
        <v>287.42</v>
      </c>
    </row>
    <row r="53" spans="1:10" x14ac:dyDescent="0.25">
      <c r="A53" s="8">
        <v>2018</v>
      </c>
      <c r="B53" s="9" t="s">
        <v>14</v>
      </c>
      <c r="C53" s="10">
        <v>176.84964210526314</v>
      </c>
      <c r="E53" s="16">
        <v>8.0033333333333321</v>
      </c>
      <c r="F53" s="17">
        <v>1764.61</v>
      </c>
      <c r="G53" s="15">
        <v>979.55</v>
      </c>
      <c r="H53" s="15">
        <v>-785.05</v>
      </c>
      <c r="I53" s="14">
        <v>195582</v>
      </c>
      <c r="J53" s="15">
        <v>367.12</v>
      </c>
    </row>
    <row r="54" spans="1:10" ht="15.75" customHeight="1" x14ac:dyDescent="0.25">
      <c r="A54" s="8">
        <v>2018</v>
      </c>
      <c r="B54" s="9" t="s">
        <v>15</v>
      </c>
      <c r="C54" s="10">
        <v>180.09797</v>
      </c>
      <c r="E54" s="16">
        <f>AVERAGE(E53,E55)</f>
        <v>7.7416666666666654</v>
      </c>
      <c r="F54" s="17">
        <v>1734.58</v>
      </c>
      <c r="G54" s="17">
        <v>1033.3800000000001</v>
      </c>
      <c r="H54" s="15">
        <v>-701.2</v>
      </c>
      <c r="I54" s="14">
        <v>253169</v>
      </c>
      <c r="J54" s="15">
        <v>475.21</v>
      </c>
    </row>
    <row r="55" spans="1:10" x14ac:dyDescent="0.25">
      <c r="A55" s="8">
        <v>2019</v>
      </c>
      <c r="B55" s="9" t="s">
        <v>4</v>
      </c>
      <c r="C55" s="10">
        <v>182.12773636363636</v>
      </c>
      <c r="E55" s="16">
        <v>7.4799999999999995</v>
      </c>
      <c r="F55" s="17">
        <v>1655.46</v>
      </c>
      <c r="G55" s="17">
        <v>1038.1500000000001</v>
      </c>
      <c r="H55" s="15">
        <v>-617.30999999999995</v>
      </c>
      <c r="I55" s="14">
        <v>244239</v>
      </c>
      <c r="J55" s="15">
        <v>460.34</v>
      </c>
    </row>
    <row r="56" spans="1:10" x14ac:dyDescent="0.25">
      <c r="A56" s="8">
        <v>2019</v>
      </c>
      <c r="B56" s="9" t="s">
        <v>5</v>
      </c>
      <c r="C56" s="10">
        <v>178.73306111111111</v>
      </c>
      <c r="E56" s="16">
        <v>7.5024999999999995</v>
      </c>
      <c r="F56" s="17">
        <v>1432.4</v>
      </c>
      <c r="G56" s="15">
        <v>981.12</v>
      </c>
      <c r="H56" s="15">
        <v>-451.28</v>
      </c>
      <c r="I56" s="14">
        <v>252033</v>
      </c>
      <c r="J56" s="15">
        <v>475.03</v>
      </c>
    </row>
    <row r="57" spans="1:10" x14ac:dyDescent="0.25">
      <c r="A57" s="8">
        <v>2019</v>
      </c>
      <c r="B57" s="9" t="s">
        <v>6</v>
      </c>
      <c r="C57" s="10">
        <v>178.42975789473684</v>
      </c>
      <c r="E57" s="16">
        <v>7.5600000000000005</v>
      </c>
      <c r="F57" s="17">
        <v>1729.04</v>
      </c>
      <c r="G57" s="17">
        <v>1136.8599999999999</v>
      </c>
      <c r="H57" s="15">
        <v>-592.17999999999995</v>
      </c>
      <c r="I57" s="14">
        <v>244328</v>
      </c>
      <c r="J57" s="15">
        <v>460.51</v>
      </c>
    </row>
    <row r="58" spans="1:10" x14ac:dyDescent="0.25">
      <c r="A58" s="8">
        <v>2019</v>
      </c>
      <c r="B58" s="9" t="s">
        <v>7</v>
      </c>
      <c r="C58" s="10">
        <v>174.80118500000003</v>
      </c>
      <c r="E58" s="16">
        <v>7.6150000000000002</v>
      </c>
      <c r="F58" s="17">
        <v>1595.57</v>
      </c>
      <c r="G58" s="15">
        <v>798.11</v>
      </c>
      <c r="H58" s="15">
        <v>-797.47</v>
      </c>
      <c r="I58" s="14">
        <v>166975</v>
      </c>
      <c r="J58" s="15">
        <v>314.70999999999998</v>
      </c>
    </row>
    <row r="59" spans="1:10" x14ac:dyDescent="0.25">
      <c r="A59" s="8">
        <v>2019</v>
      </c>
      <c r="B59" s="9" t="s">
        <v>8</v>
      </c>
      <c r="C59" s="10">
        <v>176.44468571428573</v>
      </c>
      <c r="E59" s="16">
        <v>7.7739999999999991</v>
      </c>
      <c r="F59" s="17">
        <v>1783.69</v>
      </c>
      <c r="G59" s="15">
        <v>961.02</v>
      </c>
      <c r="H59" s="15">
        <v>-822.67</v>
      </c>
      <c r="I59" s="14">
        <v>37802</v>
      </c>
      <c r="J59" s="15">
        <v>71.25</v>
      </c>
    </row>
    <row r="60" spans="1:10" x14ac:dyDescent="0.25">
      <c r="A60" s="8">
        <v>2019</v>
      </c>
      <c r="B60" s="9" t="s">
        <v>9</v>
      </c>
      <c r="C60" s="10">
        <v>176.58886315789474</v>
      </c>
      <c r="E60" s="16">
        <v>8.0350000000000001</v>
      </c>
      <c r="F60" s="17">
        <v>1399.84</v>
      </c>
      <c r="G60" s="17">
        <v>1083.95</v>
      </c>
      <c r="H60" s="15">
        <v>-315.89</v>
      </c>
      <c r="I60" s="14">
        <v>63072</v>
      </c>
      <c r="J60" s="15">
        <v>118.88</v>
      </c>
    </row>
    <row r="61" spans="1:10" x14ac:dyDescent="0.25">
      <c r="A61" s="8">
        <v>2019</v>
      </c>
      <c r="B61" s="9" t="s">
        <v>10</v>
      </c>
      <c r="C61" s="10">
        <v>175.99017272727272</v>
      </c>
      <c r="E61" s="16">
        <v>8.3450000000000006</v>
      </c>
      <c r="F61" s="17">
        <v>1715.92</v>
      </c>
      <c r="G61" s="15">
        <v>998.53</v>
      </c>
      <c r="H61" s="15">
        <v>-717.38</v>
      </c>
      <c r="I61" s="14">
        <v>115701</v>
      </c>
      <c r="J61" s="15">
        <v>218.07</v>
      </c>
    </row>
    <row r="62" spans="1:10" x14ac:dyDescent="0.25">
      <c r="A62" s="8">
        <v>2019</v>
      </c>
      <c r="B62" s="9" t="s">
        <v>11</v>
      </c>
      <c r="C62" s="10">
        <v>177.97049000000001</v>
      </c>
      <c r="E62" s="16">
        <v>8.64</v>
      </c>
      <c r="F62" s="17">
        <v>1573.61</v>
      </c>
      <c r="G62" s="17">
        <v>1033.33</v>
      </c>
      <c r="H62" s="15">
        <v>-541.1</v>
      </c>
      <c r="I62" s="14">
        <v>143587</v>
      </c>
      <c r="J62" s="15">
        <v>270.63</v>
      </c>
    </row>
    <row r="63" spans="1:10" x14ac:dyDescent="0.25">
      <c r="A63" s="8">
        <v>2019</v>
      </c>
      <c r="B63" s="9" t="s">
        <v>12</v>
      </c>
      <c r="C63" s="10">
        <v>180.77517999999998</v>
      </c>
      <c r="E63" s="16">
        <v>9.067499999999999</v>
      </c>
      <c r="F63" s="17">
        <v>1710.54</v>
      </c>
      <c r="G63" s="15">
        <v>953.75</v>
      </c>
      <c r="H63" s="15">
        <v>-756.78</v>
      </c>
      <c r="I63" s="14">
        <v>108575</v>
      </c>
      <c r="J63" s="15">
        <v>204.64</v>
      </c>
    </row>
    <row r="64" spans="1:10" x14ac:dyDescent="0.25">
      <c r="A64" s="8">
        <v>2019</v>
      </c>
      <c r="B64" s="9" t="s">
        <v>13</v>
      </c>
      <c r="C64" s="10">
        <v>181.45112173913046</v>
      </c>
      <c r="E64" s="16">
        <v>9.4766666666666683</v>
      </c>
      <c r="F64" s="17">
        <v>1815.73</v>
      </c>
      <c r="G64" s="15">
        <v>977.28</v>
      </c>
      <c r="H64" s="15">
        <v>-838.44</v>
      </c>
      <c r="I64" s="14">
        <v>118743</v>
      </c>
      <c r="J64" s="15">
        <v>223.81</v>
      </c>
    </row>
    <row r="65" spans="1:10" x14ac:dyDescent="0.25">
      <c r="A65" s="8">
        <v>2019</v>
      </c>
      <c r="B65" s="9" t="s">
        <v>14</v>
      </c>
      <c r="C65" s="10">
        <v>180.37293684210528</v>
      </c>
      <c r="E65" s="16">
        <v>9.5500000000000007</v>
      </c>
      <c r="F65" s="17">
        <v>1741.09</v>
      </c>
      <c r="G65" s="15">
        <v>978.79</v>
      </c>
      <c r="H65" s="15">
        <v>-762.31</v>
      </c>
      <c r="I65" s="14">
        <v>176984</v>
      </c>
      <c r="J65" s="15">
        <v>333.58</v>
      </c>
    </row>
    <row r="66" spans="1:10" ht="15.75" customHeight="1" x14ac:dyDescent="0.25">
      <c r="A66" s="8">
        <v>2019</v>
      </c>
      <c r="B66" s="9" t="s">
        <v>15</v>
      </c>
      <c r="C66" s="10">
        <v>181.25390999999999</v>
      </c>
      <c r="E66" s="16">
        <f>AVERAGE(E65,E67)</f>
        <v>7.1074999999999999</v>
      </c>
      <c r="F66" s="17">
        <v>1784.19</v>
      </c>
      <c r="G66" s="15">
        <v>999.94</v>
      </c>
      <c r="H66" s="15">
        <v>-784.25</v>
      </c>
      <c r="I66" s="14">
        <v>241663</v>
      </c>
      <c r="J66" s="15">
        <v>455.48</v>
      </c>
    </row>
    <row r="67" spans="1:10" x14ac:dyDescent="0.25">
      <c r="A67" s="8">
        <v>2020</v>
      </c>
      <c r="B67" s="9" t="s">
        <v>4</v>
      </c>
      <c r="C67" s="10">
        <v>181.40364285714287</v>
      </c>
      <c r="E67" s="16">
        <v>4.665</v>
      </c>
      <c r="F67" s="17">
        <v>1735.33</v>
      </c>
      <c r="G67" s="17">
        <v>1004.89</v>
      </c>
      <c r="H67" s="15">
        <v>-730.44</v>
      </c>
      <c r="I67" s="14">
        <v>228434</v>
      </c>
      <c r="J67" s="15">
        <v>307.04000000000002</v>
      </c>
    </row>
    <row r="68" spans="1:10" x14ac:dyDescent="0.25">
      <c r="A68" s="8">
        <v>2020</v>
      </c>
      <c r="B68" s="9" t="s">
        <v>5</v>
      </c>
      <c r="C68" s="10">
        <v>181.56280000000004</v>
      </c>
      <c r="E68" s="16">
        <v>4.6050000000000004</v>
      </c>
      <c r="F68" s="17">
        <v>1562.32</v>
      </c>
      <c r="G68" s="15">
        <v>988.42</v>
      </c>
      <c r="H68" s="15">
        <v>-573.80999999999995</v>
      </c>
      <c r="I68" s="14">
        <v>207507</v>
      </c>
      <c r="J68" s="15">
        <v>278.91000000000003</v>
      </c>
    </row>
    <row r="69" spans="1:10" x14ac:dyDescent="0.25">
      <c r="A69" s="8">
        <v>2020</v>
      </c>
      <c r="B69" s="9" t="s">
        <v>6</v>
      </c>
      <c r="C69" s="10">
        <v>185.05667999999997</v>
      </c>
      <c r="E69" s="16">
        <v>4.5766666666666671</v>
      </c>
      <c r="F69" s="17">
        <v>1205.05</v>
      </c>
      <c r="G69" s="15">
        <v>656.36</v>
      </c>
      <c r="H69" s="15">
        <v>-548.83000000000004</v>
      </c>
      <c r="I69" s="14">
        <v>71370</v>
      </c>
      <c r="J69" s="15">
        <v>95.93</v>
      </c>
    </row>
    <row r="70" spans="1:10" x14ac:dyDescent="0.25">
      <c r="A70" s="8">
        <v>2020</v>
      </c>
      <c r="B70" s="9" t="s">
        <v>7</v>
      </c>
      <c r="C70" s="10">
        <v>193.08540555555555</v>
      </c>
      <c r="E70" s="16">
        <v>4.5149999999999997</v>
      </c>
      <c r="F70" s="17">
        <v>1122.6099999999999</v>
      </c>
      <c r="G70" s="15">
        <v>282.31</v>
      </c>
      <c r="H70" s="15">
        <v>-840.3</v>
      </c>
      <c r="I70" s="15">
        <v>0</v>
      </c>
      <c r="J70" s="15">
        <v>0</v>
      </c>
    </row>
    <row r="71" spans="1:10" x14ac:dyDescent="0.25">
      <c r="A71" s="8">
        <v>2020</v>
      </c>
      <c r="B71" s="9" t="s">
        <v>8</v>
      </c>
      <c r="C71" s="10">
        <v>187.86504705882351</v>
      </c>
      <c r="E71" s="16">
        <v>4.6174999999999997</v>
      </c>
      <c r="F71" s="15">
        <v>993.82</v>
      </c>
      <c r="G71" s="15">
        <v>586.89</v>
      </c>
      <c r="H71" s="15">
        <v>-407.14</v>
      </c>
      <c r="I71" s="15">
        <v>0</v>
      </c>
      <c r="J71" s="15">
        <v>0</v>
      </c>
    </row>
    <row r="72" spans="1:10" x14ac:dyDescent="0.25">
      <c r="A72" s="8">
        <v>2020</v>
      </c>
      <c r="B72" s="9" t="s">
        <v>9</v>
      </c>
      <c r="C72" s="10">
        <v>185.95452380952381</v>
      </c>
      <c r="E72" s="16">
        <v>4.8</v>
      </c>
      <c r="F72" s="17">
        <v>1055.45</v>
      </c>
      <c r="G72" s="15">
        <v>894.14</v>
      </c>
      <c r="H72" s="15">
        <v>-161.32</v>
      </c>
      <c r="I72" s="15">
        <v>0</v>
      </c>
      <c r="J72" s="15">
        <v>0</v>
      </c>
    </row>
    <row r="73" spans="1:10" x14ac:dyDescent="0.25">
      <c r="A73" s="8">
        <v>2020</v>
      </c>
      <c r="B73" s="9" t="s">
        <v>10</v>
      </c>
      <c r="C73" s="10">
        <v>185.84869565217394</v>
      </c>
      <c r="E73" s="16">
        <v>6.2874999999999996</v>
      </c>
      <c r="F73" s="17">
        <v>1293.69</v>
      </c>
      <c r="G73" s="17">
        <v>1085.02</v>
      </c>
      <c r="H73" s="15">
        <v>-208.67</v>
      </c>
      <c r="I73" s="15">
        <v>0</v>
      </c>
      <c r="J73" s="15">
        <v>0</v>
      </c>
    </row>
    <row r="74" spans="1:10" x14ac:dyDescent="0.25">
      <c r="A74" s="8">
        <v>2020</v>
      </c>
      <c r="B74" s="9" t="s">
        <v>11</v>
      </c>
      <c r="C74" s="10">
        <v>184.89385499999997</v>
      </c>
      <c r="E74" s="16">
        <v>6.7450000000000001</v>
      </c>
      <c r="F74" s="17">
        <v>1289.0899999999999</v>
      </c>
      <c r="G74" s="15">
        <v>947.23</v>
      </c>
      <c r="H74" s="15">
        <v>-341.86</v>
      </c>
      <c r="I74" s="15">
        <v>0</v>
      </c>
      <c r="J74" s="15">
        <v>0</v>
      </c>
    </row>
    <row r="75" spans="1:10" x14ac:dyDescent="0.25">
      <c r="A75" s="8">
        <v>2020</v>
      </c>
      <c r="B75" s="9" t="s">
        <v>12</v>
      </c>
      <c r="C75" s="10">
        <v>185.03172857142854</v>
      </c>
      <c r="E75" s="16">
        <v>6.7625000000000002</v>
      </c>
      <c r="F75" s="17">
        <v>1524.88</v>
      </c>
      <c r="G75" s="15">
        <v>999.96</v>
      </c>
      <c r="H75" s="15">
        <v>-524.84</v>
      </c>
      <c r="I75" s="15">
        <v>0</v>
      </c>
      <c r="J75" s="15">
        <v>0</v>
      </c>
    </row>
    <row r="76" spans="1:10" x14ac:dyDescent="0.25">
      <c r="A76" s="8">
        <v>2020</v>
      </c>
      <c r="B76" s="9" t="s">
        <v>13</v>
      </c>
      <c r="C76" s="10">
        <v>184.43790999999999</v>
      </c>
      <c r="E76" s="16">
        <v>7.2725</v>
      </c>
      <c r="F76" s="17">
        <v>1362.78</v>
      </c>
      <c r="G76" s="15">
        <v>848.44</v>
      </c>
      <c r="H76" s="15">
        <v>-508.51</v>
      </c>
      <c r="I76" s="15">
        <v>0</v>
      </c>
      <c r="J76" s="15">
        <v>0</v>
      </c>
    </row>
    <row r="77" spans="1:10" x14ac:dyDescent="0.25">
      <c r="A77" s="8">
        <v>2020</v>
      </c>
      <c r="B77" s="9" t="s">
        <v>14</v>
      </c>
      <c r="C77" s="10">
        <v>184.78820000000002</v>
      </c>
      <c r="E77" s="16">
        <v>7.3975</v>
      </c>
      <c r="F77" s="17">
        <v>1383.7</v>
      </c>
      <c r="G77" s="15">
        <v>819.17</v>
      </c>
      <c r="H77" s="15">
        <v>-600.04</v>
      </c>
      <c r="I77" s="15">
        <v>0</v>
      </c>
      <c r="J77" s="15">
        <v>0</v>
      </c>
    </row>
    <row r="78" spans="1:10" ht="15.75" customHeight="1" x14ac:dyDescent="0.25">
      <c r="A78" s="8">
        <v>2020</v>
      </c>
      <c r="B78" s="9" t="s">
        <v>15</v>
      </c>
      <c r="C78" s="10">
        <v>187.18220476190476</v>
      </c>
      <c r="E78" s="16">
        <v>7.52</v>
      </c>
      <c r="F78" s="17">
        <v>1526.65</v>
      </c>
      <c r="G78" s="15">
        <v>964.48</v>
      </c>
      <c r="H78" s="15">
        <v>-562.20000000000005</v>
      </c>
      <c r="I78" s="15">
        <v>393</v>
      </c>
      <c r="J78" s="15">
        <v>0.53</v>
      </c>
    </row>
    <row r="79" spans="1:10" x14ac:dyDescent="0.25">
      <c r="A79" s="8">
        <v>2021</v>
      </c>
      <c r="B79" s="9" t="s">
        <v>4</v>
      </c>
      <c r="C79" s="10">
        <v>190.49180526315786</v>
      </c>
      <c r="E79" s="16">
        <v>7.4779999999999998</v>
      </c>
      <c r="F79" s="17">
        <v>1591.59</v>
      </c>
      <c r="G79" s="15">
        <v>936.66</v>
      </c>
      <c r="H79" s="15">
        <v>-654.92999999999995</v>
      </c>
      <c r="I79" s="17">
        <v>1682</v>
      </c>
      <c r="J79" s="15">
        <v>5.48</v>
      </c>
    </row>
    <row r="80" spans="1:10" x14ac:dyDescent="0.25">
      <c r="A80" s="8">
        <v>2021</v>
      </c>
      <c r="B80" s="9" t="s">
        <v>5</v>
      </c>
      <c r="C80" s="10">
        <v>194.06650555555552</v>
      </c>
      <c r="E80" s="16">
        <v>7.8650000000000002</v>
      </c>
      <c r="F80" s="17">
        <v>1523.6</v>
      </c>
      <c r="G80" s="15">
        <v>951.72</v>
      </c>
      <c r="H80" s="15">
        <v>-571.88</v>
      </c>
      <c r="I80" s="17">
        <v>3366</v>
      </c>
      <c r="J80" s="15">
        <v>10.97</v>
      </c>
    </row>
    <row r="81" spans="1:10" x14ac:dyDescent="0.25">
      <c r="A81" s="8">
        <v>2021</v>
      </c>
      <c r="B81" s="9" t="s">
        <v>6</v>
      </c>
      <c r="C81" s="10">
        <v>196.98253636363634</v>
      </c>
      <c r="E81" s="16">
        <v>7.742</v>
      </c>
      <c r="F81" s="17">
        <v>1925.93</v>
      </c>
      <c r="G81" s="17">
        <v>1093.77</v>
      </c>
      <c r="H81" s="15">
        <v>-832.16</v>
      </c>
      <c r="I81" s="17">
        <v>4581</v>
      </c>
      <c r="J81" s="15">
        <v>14.93</v>
      </c>
    </row>
    <row r="82" spans="1:10" x14ac:dyDescent="0.25">
      <c r="A82" s="8">
        <v>2021</v>
      </c>
      <c r="B82" s="9" t="s">
        <v>7</v>
      </c>
      <c r="C82" s="10">
        <v>197.42304444444446</v>
      </c>
      <c r="E82" s="16">
        <v>6.0975000000000001</v>
      </c>
      <c r="F82" s="17">
        <v>1706.97</v>
      </c>
      <c r="G82" s="15">
        <v>818.18</v>
      </c>
      <c r="H82" s="15">
        <v>-888.79</v>
      </c>
      <c r="I82" s="17">
        <v>4168</v>
      </c>
      <c r="J82" s="15">
        <v>13.58</v>
      </c>
    </row>
    <row r="83" spans="1:10" x14ac:dyDescent="0.25">
      <c r="A83" s="8">
        <v>2021</v>
      </c>
      <c r="B83" s="9" t="s">
        <v>8</v>
      </c>
      <c r="C83" s="10">
        <v>199.58471666666668</v>
      </c>
      <c r="E83" s="16">
        <v>5.4275000000000002</v>
      </c>
      <c r="F83" s="17">
        <v>1607.43</v>
      </c>
      <c r="G83" s="15">
        <v>891.7</v>
      </c>
      <c r="H83" s="15">
        <v>-715.73</v>
      </c>
      <c r="I83" s="17">
        <v>1497</v>
      </c>
      <c r="J83" s="15">
        <v>4.88</v>
      </c>
    </row>
    <row r="84" spans="1:10" x14ac:dyDescent="0.25">
      <c r="A84" s="8">
        <v>2021</v>
      </c>
      <c r="B84" s="9" t="s">
        <v>9</v>
      </c>
      <c r="C84" s="10">
        <v>199.81606190476191</v>
      </c>
      <c r="E84" s="16">
        <v>5.2039999999999997</v>
      </c>
      <c r="F84" s="17">
        <v>1659.2</v>
      </c>
      <c r="G84" s="17">
        <v>1007.01</v>
      </c>
      <c r="H84" s="15">
        <v>-652.19000000000005</v>
      </c>
      <c r="I84" s="17">
        <v>1614</v>
      </c>
      <c r="J84" s="15">
        <v>5.26</v>
      </c>
    </row>
    <row r="85" spans="1:10" x14ac:dyDescent="0.25">
      <c r="A85" s="8">
        <v>2021</v>
      </c>
      <c r="B85" s="9" t="s">
        <v>10</v>
      </c>
      <c r="C85" s="10">
        <v>199.97777000000002</v>
      </c>
      <c r="E85" s="16">
        <v>5.16</v>
      </c>
      <c r="F85" s="17">
        <v>1710.1</v>
      </c>
      <c r="G85" s="17">
        <v>1103.93</v>
      </c>
      <c r="H85" s="15">
        <v>-606.16</v>
      </c>
      <c r="I85" s="17">
        <v>2429</v>
      </c>
      <c r="J85" s="15">
        <v>7.92</v>
      </c>
    </row>
    <row r="86" spans="1:10" x14ac:dyDescent="0.25">
      <c r="A86" s="8">
        <v>2021</v>
      </c>
      <c r="B86" s="9" t="s">
        <v>11</v>
      </c>
      <c r="C86" s="10">
        <v>200.49652727272726</v>
      </c>
      <c r="E86" s="16">
        <v>5.1225000000000005</v>
      </c>
      <c r="F86" s="17">
        <v>1686.67</v>
      </c>
      <c r="G86" s="17">
        <v>1101.03</v>
      </c>
      <c r="H86" s="15">
        <v>-585.63</v>
      </c>
      <c r="I86" s="17">
        <v>5040</v>
      </c>
      <c r="J86" s="15">
        <v>16.420000000000002</v>
      </c>
    </row>
    <row r="87" spans="1:10" x14ac:dyDescent="0.25">
      <c r="A87" s="8">
        <v>2021</v>
      </c>
      <c r="B87" s="9" t="s">
        <v>12</v>
      </c>
      <c r="C87" s="10">
        <v>201.98584285714284</v>
      </c>
      <c r="E87" s="16">
        <v>5.0860000000000003</v>
      </c>
      <c r="F87" s="17">
        <v>1526.03</v>
      </c>
      <c r="G87" s="17">
        <v>1034.46</v>
      </c>
      <c r="H87" s="15">
        <v>-491.58</v>
      </c>
      <c r="I87" s="17">
        <v>13547</v>
      </c>
      <c r="J87" s="15">
        <v>44.14</v>
      </c>
    </row>
    <row r="88" spans="1:10" x14ac:dyDescent="0.25">
      <c r="A88" s="8">
        <v>2021</v>
      </c>
      <c r="B88" s="9" t="s">
        <v>13</v>
      </c>
      <c r="C88" s="10">
        <v>201.08985789473684</v>
      </c>
      <c r="E88" s="16">
        <v>4.9975000000000005</v>
      </c>
      <c r="F88" s="17">
        <v>1694.28</v>
      </c>
      <c r="G88" s="17">
        <v>1192.3399999999999</v>
      </c>
      <c r="H88" s="15">
        <v>-501.94</v>
      </c>
      <c r="I88" s="17">
        <v>22771</v>
      </c>
      <c r="J88" s="15">
        <v>74.2</v>
      </c>
    </row>
    <row r="89" spans="1:10" x14ac:dyDescent="0.25">
      <c r="A89" s="8">
        <v>2021</v>
      </c>
      <c r="B89" s="9" t="s">
        <v>14</v>
      </c>
      <c r="C89" s="10">
        <v>201.85815999999997</v>
      </c>
      <c r="E89" s="16">
        <v>4.7850000000000001</v>
      </c>
      <c r="F89" s="17">
        <v>1764.63</v>
      </c>
      <c r="G89" s="17">
        <v>1211.47</v>
      </c>
      <c r="H89" s="15">
        <v>-553.16</v>
      </c>
      <c r="I89" s="17">
        <v>44294</v>
      </c>
      <c r="J89" s="15">
        <v>144.34</v>
      </c>
    </row>
    <row r="90" spans="1:10" ht="15.75" customHeight="1" x14ac:dyDescent="0.25">
      <c r="A90" s="8">
        <v>2021</v>
      </c>
      <c r="B90" s="9" t="s">
        <v>15</v>
      </c>
      <c r="C90" s="10">
        <v>201.39897391304345</v>
      </c>
      <c r="E90" s="16">
        <v>4.6980000000000004</v>
      </c>
      <c r="F90" s="17">
        <v>2240.98</v>
      </c>
      <c r="G90" s="17">
        <v>1156.29</v>
      </c>
      <c r="H90" s="17">
        <v>-1084.69</v>
      </c>
      <c r="I90" s="17">
        <v>89506</v>
      </c>
      <c r="J90" s="15">
        <v>291.66000000000003</v>
      </c>
    </row>
    <row r="91" spans="1:10" x14ac:dyDescent="0.25">
      <c r="A91" s="8">
        <v>2022</v>
      </c>
      <c r="B91" s="9" t="s">
        <v>4</v>
      </c>
      <c r="C91" s="10">
        <v>201.46467368421048</v>
      </c>
      <c r="E91" s="16">
        <v>32.785999999999994</v>
      </c>
      <c r="F91" s="17">
        <v>1959.38</v>
      </c>
      <c r="G91" s="17">
        <v>1102.5999999999999</v>
      </c>
      <c r="H91" s="15">
        <v>-856.78</v>
      </c>
      <c r="I91" s="17">
        <v>82327</v>
      </c>
      <c r="J91" s="15">
        <v>151.69999999999999</v>
      </c>
    </row>
    <row r="92" spans="1:10" x14ac:dyDescent="0.25">
      <c r="A92" s="8">
        <v>2022</v>
      </c>
      <c r="B92" s="9" t="s">
        <v>5</v>
      </c>
      <c r="C92" s="10">
        <v>201.73619999999997</v>
      </c>
      <c r="E92" s="16">
        <v>33.055</v>
      </c>
      <c r="F92" s="17">
        <v>1872.95</v>
      </c>
      <c r="G92" s="17">
        <v>1093.3399999999999</v>
      </c>
      <c r="H92" s="15">
        <v>-779.61</v>
      </c>
      <c r="I92" s="17">
        <v>96507</v>
      </c>
      <c r="J92" s="15">
        <v>169.4</v>
      </c>
    </row>
    <row r="93" spans="1:10" x14ac:dyDescent="0.25">
      <c r="A93" s="8">
        <v>2022</v>
      </c>
      <c r="B93" s="9" t="s">
        <v>6</v>
      </c>
      <c r="C93" s="10">
        <v>255.8080619047619</v>
      </c>
      <c r="E93" s="16">
        <v>32.872500000000002</v>
      </c>
      <c r="F93" s="17">
        <v>1818.91</v>
      </c>
      <c r="G93" s="17">
        <v>1058.23</v>
      </c>
      <c r="H93" s="15">
        <v>-760.68</v>
      </c>
      <c r="I93" s="17">
        <v>106500</v>
      </c>
      <c r="J93" s="15">
        <v>161.19999999999999</v>
      </c>
    </row>
    <row r="94" spans="1:10" x14ac:dyDescent="0.25">
      <c r="A94" s="8">
        <v>2022</v>
      </c>
      <c r="B94" s="9" t="s">
        <v>7</v>
      </c>
      <c r="C94" s="10">
        <v>319.44043333333337</v>
      </c>
      <c r="E94" s="16">
        <v>32.475999999999999</v>
      </c>
      <c r="F94" s="17">
        <v>1698.96</v>
      </c>
      <c r="G94" s="15">
        <v>970.91</v>
      </c>
      <c r="H94" s="15">
        <v>-728.06</v>
      </c>
      <c r="I94" s="17">
        <v>62980</v>
      </c>
      <c r="J94" s="15">
        <v>108.7</v>
      </c>
    </row>
    <row r="95" spans="1:10" x14ac:dyDescent="0.25">
      <c r="A95" s="8">
        <v>2022</v>
      </c>
      <c r="B95" s="9" t="s">
        <v>8</v>
      </c>
      <c r="C95" s="10">
        <v>358.93903157894738</v>
      </c>
      <c r="E95" s="16">
        <v>29.024999999999999</v>
      </c>
      <c r="F95" s="17">
        <v>1451.46</v>
      </c>
      <c r="G95" s="17">
        <v>1048.3</v>
      </c>
      <c r="H95" s="15">
        <v>-403.16</v>
      </c>
      <c r="I95" s="17">
        <v>30207</v>
      </c>
      <c r="J95" s="15">
        <v>43.5</v>
      </c>
    </row>
    <row r="96" spans="1:10" x14ac:dyDescent="0.25">
      <c r="A96" s="8">
        <v>2022</v>
      </c>
      <c r="B96" s="9" t="s">
        <v>9</v>
      </c>
      <c r="C96" s="10">
        <v>360.24280952380951</v>
      </c>
      <c r="E96" s="16">
        <v>28.880000000000003</v>
      </c>
      <c r="F96" s="17">
        <v>1226.48</v>
      </c>
      <c r="G96" s="17">
        <v>1248.77</v>
      </c>
      <c r="H96" s="15">
        <v>22.3</v>
      </c>
      <c r="I96" s="17">
        <v>32856</v>
      </c>
      <c r="J96" s="15">
        <v>45</v>
      </c>
    </row>
    <row r="97" spans="1:10" x14ac:dyDescent="0.25">
      <c r="A97" s="8">
        <v>2022</v>
      </c>
      <c r="B97" s="9" t="s">
        <v>10</v>
      </c>
      <c r="C97" s="10">
        <v>360.87241000000006</v>
      </c>
      <c r="E97" s="16">
        <v>21.53</v>
      </c>
      <c r="F97" s="17">
        <v>1286.8399999999999</v>
      </c>
      <c r="G97" s="17">
        <v>1164.5999999999999</v>
      </c>
      <c r="H97" s="15">
        <v>-122.25</v>
      </c>
      <c r="I97" s="17">
        <v>47293</v>
      </c>
      <c r="J97" s="15">
        <v>85</v>
      </c>
    </row>
    <row r="98" spans="1:10" x14ac:dyDescent="0.25">
      <c r="A98" s="8">
        <v>2022</v>
      </c>
      <c r="B98" s="9" t="s">
        <v>11</v>
      </c>
      <c r="C98" s="10">
        <v>360.99827727272725</v>
      </c>
      <c r="E98" s="16">
        <v>23.817499999999999</v>
      </c>
      <c r="F98" s="17">
        <v>1485.87</v>
      </c>
      <c r="G98" s="17">
        <v>1225.3699999999999</v>
      </c>
      <c r="H98" s="15">
        <v>-260.5</v>
      </c>
      <c r="I98" s="17">
        <v>37760</v>
      </c>
      <c r="J98" s="15">
        <v>67.900000000000006</v>
      </c>
    </row>
    <row r="99" spans="1:10" x14ac:dyDescent="0.25">
      <c r="A99" s="8">
        <v>2022</v>
      </c>
      <c r="B99" s="9" t="s">
        <v>12</v>
      </c>
      <c r="C99" s="10">
        <v>362.38257272727253</v>
      </c>
      <c r="E99" s="16">
        <v>17.489999999999998</v>
      </c>
      <c r="F99" s="17">
        <v>1284.3599999999999</v>
      </c>
      <c r="G99" s="17">
        <v>1079.83</v>
      </c>
      <c r="H99" s="15">
        <v>-204.53</v>
      </c>
      <c r="I99" s="17">
        <v>29802</v>
      </c>
      <c r="J99" s="15">
        <v>40.5</v>
      </c>
    </row>
    <row r="100" spans="1:10" x14ac:dyDescent="0.25">
      <c r="A100" s="8">
        <v>2022</v>
      </c>
      <c r="B100" s="9" t="s">
        <v>13</v>
      </c>
      <c r="C100" s="10">
        <v>363.14842105263165</v>
      </c>
      <c r="E100" s="16">
        <v>10.767499999999998</v>
      </c>
      <c r="F100" s="17">
        <v>1335.67</v>
      </c>
      <c r="G100" s="17">
        <v>1051.56</v>
      </c>
      <c r="H100" s="15">
        <v>-284.10000000000002</v>
      </c>
      <c r="I100" s="17">
        <v>42026</v>
      </c>
      <c r="J100" s="15">
        <v>54.9</v>
      </c>
    </row>
    <row r="101" spans="1:10" x14ac:dyDescent="0.25">
      <c r="A101" s="8">
        <v>2022</v>
      </c>
      <c r="B101" s="9" t="s">
        <v>14</v>
      </c>
      <c r="C101" s="10">
        <v>363.39404761904763</v>
      </c>
      <c r="E101" s="16">
        <v>8.5549999999999997</v>
      </c>
      <c r="F101" s="17">
        <v>1444.56</v>
      </c>
      <c r="G101" s="15">
        <v>995.33</v>
      </c>
      <c r="H101" s="15">
        <v>-449.23</v>
      </c>
      <c r="I101" s="14">
        <v>59759</v>
      </c>
      <c r="J101" s="15">
        <v>81</v>
      </c>
    </row>
    <row r="102" spans="1:10" ht="15.75" customHeight="1" x14ac:dyDescent="0.25">
      <c r="A102" s="8">
        <v>2022</v>
      </c>
      <c r="B102" s="9" t="s">
        <v>15</v>
      </c>
      <c r="C102" s="10">
        <v>363.16518999999994</v>
      </c>
      <c r="E102" s="16">
        <v>8.4450000000000003</v>
      </c>
      <c r="F102" s="17">
        <v>1425.56</v>
      </c>
      <c r="G102" s="17">
        <v>1067.5899999999999</v>
      </c>
      <c r="H102" s="15">
        <v>-357.97</v>
      </c>
      <c r="I102" s="14">
        <v>91961</v>
      </c>
      <c r="J102" s="15">
        <v>127.4</v>
      </c>
    </row>
    <row r="103" spans="1:10" x14ac:dyDescent="0.25">
      <c r="A103" s="8">
        <v>2023</v>
      </c>
      <c r="B103" s="9" t="s">
        <v>4</v>
      </c>
      <c r="C103" s="10">
        <v>362.422775</v>
      </c>
      <c r="E103" s="16">
        <v>14.585000000000001</v>
      </c>
      <c r="F103" s="15">
        <v>1423.4</v>
      </c>
      <c r="G103" s="15">
        <v>978.2</v>
      </c>
      <c r="H103" s="15">
        <v>-445.2</v>
      </c>
      <c r="I103" s="14">
        <v>102545</v>
      </c>
      <c r="J103" s="15">
        <v>153.5</v>
      </c>
    </row>
    <row r="104" spans="1:10" x14ac:dyDescent="0.25">
      <c r="A104" s="8">
        <v>2023</v>
      </c>
      <c r="B104" s="9" t="s">
        <v>5</v>
      </c>
      <c r="C104" s="10">
        <v>361.97661499999998</v>
      </c>
      <c r="E104" s="16">
        <v>15.422000000000001</v>
      </c>
      <c r="F104" s="15">
        <v>1021</v>
      </c>
      <c r="G104" s="15">
        <v>982</v>
      </c>
      <c r="H104" s="15">
        <v>-39.1</v>
      </c>
      <c r="I104" s="14">
        <v>107639</v>
      </c>
      <c r="J104" s="15">
        <v>161.6</v>
      </c>
    </row>
    <row r="105" spans="1:10" x14ac:dyDescent="0.25">
      <c r="A105" s="8">
        <v>2023</v>
      </c>
      <c r="B105" s="9" t="s">
        <v>6</v>
      </c>
      <c r="C105" s="10">
        <v>329.47085454545453</v>
      </c>
      <c r="E105" s="16">
        <v>16.565000000000001</v>
      </c>
      <c r="F105" s="15">
        <v>1449.5</v>
      </c>
      <c r="G105" s="15">
        <v>1037.5</v>
      </c>
      <c r="H105" s="15">
        <v>-412.1</v>
      </c>
      <c r="I105" s="14">
        <v>125495</v>
      </c>
      <c r="J105" s="15">
        <v>188.8</v>
      </c>
    </row>
    <row r="106" spans="1:10" x14ac:dyDescent="0.25">
      <c r="A106" s="8">
        <v>2023</v>
      </c>
      <c r="B106" s="9" t="s">
        <v>7</v>
      </c>
      <c r="C106" s="10">
        <v>321.42435625000002</v>
      </c>
      <c r="E106" s="16">
        <v>18.04</v>
      </c>
      <c r="F106" s="15">
        <v>1431.2</v>
      </c>
      <c r="G106" s="15">
        <v>848.6</v>
      </c>
      <c r="H106" s="15">
        <v>-582.6</v>
      </c>
      <c r="I106" s="14">
        <v>105498</v>
      </c>
      <c r="J106" s="15">
        <v>148.19999999999999</v>
      </c>
    </row>
    <row r="107" spans="1:10" x14ac:dyDescent="0.25">
      <c r="A107" s="8">
        <v>2023</v>
      </c>
      <c r="B107" s="9" t="s">
        <v>8</v>
      </c>
      <c r="C107" s="10">
        <v>310.16385714285724</v>
      </c>
      <c r="E107" s="16">
        <v>18.736000000000001</v>
      </c>
      <c r="F107" s="15">
        <v>1466.3</v>
      </c>
      <c r="G107" s="15">
        <v>1019.5</v>
      </c>
      <c r="H107" s="15">
        <v>-446.8</v>
      </c>
      <c r="I107" s="14">
        <v>83309</v>
      </c>
      <c r="J107" s="15">
        <v>100</v>
      </c>
    </row>
    <row r="108" spans="1:10" x14ac:dyDescent="0.25">
      <c r="A108" s="8">
        <v>2023</v>
      </c>
      <c r="B108" s="9" t="s">
        <v>9</v>
      </c>
      <c r="C108" s="10">
        <v>301.26117499999998</v>
      </c>
      <c r="E108" s="16">
        <v>19.204999999999998</v>
      </c>
      <c r="F108" s="15">
        <v>1369.1</v>
      </c>
      <c r="G108" s="15">
        <v>1005.3</v>
      </c>
      <c r="H108" s="15">
        <v>-363.7</v>
      </c>
      <c r="I108" s="14">
        <v>100388</v>
      </c>
      <c r="J108" s="15">
        <v>122.9</v>
      </c>
    </row>
    <row r="109" spans="1:10" x14ac:dyDescent="0.25">
      <c r="A109" s="8">
        <v>2023</v>
      </c>
      <c r="B109" s="9" t="s">
        <v>10</v>
      </c>
      <c r="C109" s="10">
        <v>319.29034499999995</v>
      </c>
      <c r="E109" s="16">
        <v>23.604000000000003</v>
      </c>
      <c r="F109" s="15">
        <v>1387.6</v>
      </c>
      <c r="G109" s="15">
        <v>1020.4</v>
      </c>
      <c r="H109" s="15">
        <v>-367.1</v>
      </c>
      <c r="I109" s="14">
        <v>143039</v>
      </c>
      <c r="J109" s="15">
        <v>219</v>
      </c>
    </row>
    <row r="110" spans="1:10" x14ac:dyDescent="0.25">
      <c r="A110" s="8">
        <v>2023</v>
      </c>
      <c r="B110" s="9" t="s">
        <v>11</v>
      </c>
      <c r="C110" s="10">
        <v>321.57640476190488</v>
      </c>
      <c r="E110" s="16">
        <v>25.6875</v>
      </c>
      <c r="F110" s="15">
        <v>1426</v>
      </c>
      <c r="G110" s="15">
        <v>1118.5999999999999</v>
      </c>
      <c r="H110" s="15">
        <v>-307.39999999999998</v>
      </c>
      <c r="I110" s="14">
        <v>136405</v>
      </c>
      <c r="J110" s="15">
        <v>210.5</v>
      </c>
    </row>
    <row r="111" spans="1:10" x14ac:dyDescent="0.25">
      <c r="A111" s="8">
        <v>2023</v>
      </c>
      <c r="B111" s="9" t="s">
        <v>12</v>
      </c>
      <c r="C111" s="10">
        <v>322.76928421052634</v>
      </c>
      <c r="E111" s="16">
        <v>25.077500000000001</v>
      </c>
      <c r="F111" s="15">
        <v>1349.3</v>
      </c>
      <c r="G111" s="15">
        <v>971.7</v>
      </c>
      <c r="H111" s="15">
        <v>-377.5</v>
      </c>
      <c r="I111" s="14">
        <v>111938</v>
      </c>
      <c r="J111" s="15">
        <v>152.19999999999999</v>
      </c>
    </row>
    <row r="112" spans="1:10" x14ac:dyDescent="0.25">
      <c r="A112" s="8">
        <v>2023</v>
      </c>
      <c r="B112" s="9" t="s">
        <v>13</v>
      </c>
      <c r="C112" s="10">
        <v>324.73027727272734</v>
      </c>
      <c r="E112" s="16">
        <v>27.7</v>
      </c>
      <c r="F112" s="15">
        <v>1610.5</v>
      </c>
      <c r="G112" s="15">
        <v>928</v>
      </c>
      <c r="H112" s="15">
        <v>-682.5</v>
      </c>
      <c r="I112" s="14">
        <v>109199</v>
      </c>
      <c r="J112" s="15">
        <v>136.69999999999999</v>
      </c>
    </row>
    <row r="113" spans="1:10" x14ac:dyDescent="0.25">
      <c r="A113" s="8">
        <v>2023</v>
      </c>
      <c r="B113" s="9" t="s">
        <v>14</v>
      </c>
      <c r="C113" s="10">
        <v>328.25003636363635</v>
      </c>
      <c r="E113" s="16">
        <v>29.834999999999997</v>
      </c>
      <c r="F113" s="15">
        <v>1388.7</v>
      </c>
      <c r="G113" s="15">
        <v>999</v>
      </c>
      <c r="H113" s="15">
        <v>-389.7</v>
      </c>
      <c r="I113" s="14">
        <v>151496</v>
      </c>
      <c r="J113" s="15">
        <v>205.3</v>
      </c>
    </row>
    <row r="114" spans="1:10" ht="15.75" customHeight="1" x14ac:dyDescent="0.25">
      <c r="A114" s="8">
        <v>2023</v>
      </c>
      <c r="B114" s="9" t="s">
        <v>15</v>
      </c>
      <c r="C114" s="10">
        <v>326.74232631578951</v>
      </c>
      <c r="E114" s="16">
        <v>30.787499999999994</v>
      </c>
      <c r="F114" s="15">
        <v>1488.6</v>
      </c>
      <c r="G114" s="15">
        <v>1001.8</v>
      </c>
      <c r="H114" s="15">
        <v>-486.8</v>
      </c>
      <c r="I114" s="14">
        <v>210352</v>
      </c>
      <c r="J114" s="15">
        <v>269.3</v>
      </c>
    </row>
    <row r="115" spans="1:10" x14ac:dyDescent="0.25">
      <c r="A115" s="8">
        <v>2024</v>
      </c>
      <c r="B115" s="9" t="s">
        <v>4</v>
      </c>
      <c r="C115" s="10">
        <v>321.17060476190483</v>
      </c>
      <c r="E115" s="16">
        <v>8.6750000000000007</v>
      </c>
      <c r="F115" s="15">
        <v>1511.8</v>
      </c>
      <c r="G115" s="15">
        <v>970.7</v>
      </c>
      <c r="H115" s="15">
        <v>-541.1</v>
      </c>
      <c r="I115" s="14">
        <v>208253</v>
      </c>
      <c r="J115" s="15">
        <v>341.8</v>
      </c>
    </row>
    <row r="116" spans="1:10" x14ac:dyDescent="0.25">
      <c r="A116" s="8">
        <v>2024</v>
      </c>
      <c r="B116" s="9" t="s">
        <v>5</v>
      </c>
      <c r="C116" s="10">
        <v>312.58011999999997</v>
      </c>
      <c r="E116" s="16">
        <v>9.1266666666666669</v>
      </c>
      <c r="F116" s="15">
        <v>1378.4</v>
      </c>
      <c r="G116" s="15">
        <v>1059.3</v>
      </c>
      <c r="H116" s="15">
        <v>-319.10000000000002</v>
      </c>
      <c r="I116" s="14">
        <v>218350</v>
      </c>
      <c r="J116" s="15">
        <v>345.7</v>
      </c>
    </row>
    <row r="117" spans="1:10" x14ac:dyDescent="0.25">
      <c r="A117" s="8">
        <v>2024</v>
      </c>
      <c r="B117" s="9" t="s">
        <v>6</v>
      </c>
      <c r="C117" s="10">
        <v>305.66496315789499</v>
      </c>
      <c r="E117" s="16">
        <v>9.548</v>
      </c>
      <c r="F117" s="15">
        <v>1138.9000000000001</v>
      </c>
      <c r="G117" s="15">
        <v>1507.7</v>
      </c>
      <c r="H117" s="15">
        <v>-368.8</v>
      </c>
      <c r="I117" s="14">
        <v>209181</v>
      </c>
      <c r="J117" s="15">
        <v>338.4</v>
      </c>
    </row>
    <row r="118" spans="1:10" x14ac:dyDescent="0.25">
      <c r="A118" s="8">
        <v>2024</v>
      </c>
      <c r="B118" s="9" t="s">
        <v>7</v>
      </c>
      <c r="C118" s="10">
        <v>299.42318421052624</v>
      </c>
      <c r="E118" s="16">
        <v>10.323333333333332</v>
      </c>
      <c r="F118" s="15">
        <v>1435.2</v>
      </c>
      <c r="G118" s="15">
        <v>877.6</v>
      </c>
      <c r="H118" s="15">
        <v>-557.70000000000005</v>
      </c>
      <c r="I118" s="14">
        <v>148867</v>
      </c>
      <c r="J118" s="15">
        <v>225.7</v>
      </c>
    </row>
    <row r="119" spans="1:10" x14ac:dyDescent="0.25">
      <c r="A119" s="8">
        <v>2024</v>
      </c>
      <c r="B119" s="9" t="s">
        <v>8</v>
      </c>
      <c r="C119" s="10">
        <v>299.69233499999996</v>
      </c>
      <c r="E119" s="16">
        <v>9.3320000000000007</v>
      </c>
      <c r="F119" s="15">
        <v>1446.6</v>
      </c>
      <c r="G119" s="15">
        <v>1011.3</v>
      </c>
      <c r="H119" s="15">
        <v>-393.3</v>
      </c>
      <c r="I119" s="14">
        <v>112128</v>
      </c>
      <c r="J119" s="15">
        <v>154</v>
      </c>
    </row>
    <row r="120" spans="1:10" x14ac:dyDescent="0.25">
      <c r="A120" s="8">
        <v>2024</v>
      </c>
      <c r="B120" s="9" t="s">
        <v>9</v>
      </c>
      <c r="C120" s="10">
        <v>303.81207777777786</v>
      </c>
      <c r="E120" s="16">
        <v>9.8433333333333337</v>
      </c>
      <c r="F120" s="15">
        <v>1446.6</v>
      </c>
      <c r="G120" s="15">
        <v>1077</v>
      </c>
      <c r="H120" s="15">
        <v>-369.6</v>
      </c>
      <c r="I120" s="14">
        <v>113470</v>
      </c>
      <c r="J120" s="15">
        <v>151.1</v>
      </c>
    </row>
    <row r="121" spans="1:10" x14ac:dyDescent="0.25">
      <c r="A121" s="8">
        <v>2024</v>
      </c>
      <c r="B121" s="9" t="s">
        <v>10</v>
      </c>
      <c r="C121" s="10">
        <v>303.75594347826092</v>
      </c>
      <c r="E121" s="16">
        <v>9.4500000000000011</v>
      </c>
      <c r="F121" s="15">
        <v>1734.1</v>
      </c>
      <c r="G121" s="15">
        <v>1130.3</v>
      </c>
      <c r="H121" s="15">
        <v>-603.79999999999995</v>
      </c>
      <c r="I121" s="14">
        <v>187810</v>
      </c>
      <c r="J121" s="15">
        <v>328.3</v>
      </c>
    </row>
    <row r="122" spans="1:10" x14ac:dyDescent="0.25">
      <c r="A122" s="8">
        <v>2024</v>
      </c>
      <c r="B122" s="9" t="s">
        <v>11</v>
      </c>
      <c r="C122" s="10">
        <v>300.66829999999993</v>
      </c>
      <c r="E122" s="16">
        <v>9.0919999999999987</v>
      </c>
      <c r="F122" s="15">
        <v>1654</v>
      </c>
      <c r="G122" s="15">
        <v>1224.5</v>
      </c>
      <c r="H122" s="15">
        <v>-429.6</v>
      </c>
      <c r="I122" s="14">
        <v>164609</v>
      </c>
      <c r="J122" s="15">
        <v>282.10000000000002</v>
      </c>
    </row>
    <row r="123" spans="1:10" x14ac:dyDescent="0.25">
      <c r="A123" s="8">
        <v>2024</v>
      </c>
      <c r="B123" s="9" t="s">
        <v>12</v>
      </c>
      <c r="C123" s="10">
        <v>301.15049999999997</v>
      </c>
      <c r="E123" s="15">
        <v>1645.7</v>
      </c>
      <c r="F123" s="15">
        <v>1011.7</v>
      </c>
      <c r="G123" s="15">
        <v>-634</v>
      </c>
      <c r="H123" s="14">
        <v>122140</v>
      </c>
      <c r="I123" s="15">
        <v>181</v>
      </c>
    </row>
    <row r="124" spans="1:10" x14ac:dyDescent="0.25">
      <c r="A124" s="8">
        <v>2024</v>
      </c>
      <c r="B124" s="9" t="s">
        <v>13</v>
      </c>
      <c r="C124" s="10">
        <v>293.78513809523804</v>
      </c>
      <c r="E124" s="15">
        <v>1702.4</v>
      </c>
      <c r="F124" s="15">
        <v>1158</v>
      </c>
      <c r="G124" s="15">
        <v>-544.4</v>
      </c>
      <c r="H124" s="14">
        <v>135907</v>
      </c>
      <c r="I124" s="15">
        <v>185.6</v>
      </c>
    </row>
    <row r="125" spans="1:10" x14ac:dyDescent="0.25">
      <c r="A125" s="8">
        <v>2024</v>
      </c>
      <c r="B125" s="9" t="s">
        <v>14</v>
      </c>
      <c r="C125" s="10">
        <v>292.00920500000001</v>
      </c>
      <c r="E125" s="15">
        <v>1496.3</v>
      </c>
      <c r="F125" s="15">
        <v>994.1</v>
      </c>
      <c r="G125" s="15">
        <v>-502.2</v>
      </c>
      <c r="H125" s="14">
        <v>184158</v>
      </c>
      <c r="I125" s="15">
        <v>272.89999999999998</v>
      </c>
    </row>
    <row r="126" spans="1:10" ht="15.75" customHeight="1" x14ac:dyDescent="0.25">
      <c r="A126" s="8">
        <v>2024</v>
      </c>
      <c r="B126" s="9" t="s">
        <v>15</v>
      </c>
      <c r="C126" s="10">
        <v>291.68051428571425</v>
      </c>
      <c r="E126" s="15">
        <v>1924.5</v>
      </c>
      <c r="F126" s="15">
        <v>1101.8</v>
      </c>
      <c r="G126" s="15">
        <v>-822.7</v>
      </c>
      <c r="H126" s="14">
        <v>248592</v>
      </c>
      <c r="I126" s="15">
        <v>362.1</v>
      </c>
    </row>
    <row r="127" spans="1:10" x14ac:dyDescent="0.25">
      <c r="A127" s="8">
        <v>2025</v>
      </c>
      <c r="B127" s="9" t="s">
        <v>4</v>
      </c>
      <c r="C127" s="10">
        <v>296.17960476190484</v>
      </c>
      <c r="E127" s="15">
        <v>1785.5</v>
      </c>
      <c r="F127" s="15">
        <v>1052.8</v>
      </c>
      <c r="G127" s="15">
        <v>-732.7</v>
      </c>
      <c r="H127" s="14">
        <v>252761</v>
      </c>
      <c r="I127" s="15">
        <v>400.7</v>
      </c>
    </row>
  </sheetData>
  <autoFilter ref="A4:C127" xr:uid="{2584B59A-647B-4EAC-8F04-B718A3B3BC5A}"/>
  <dataConsolidate function="count"/>
  <mergeCells count="11">
    <mergeCell ref="H4:H6"/>
    <mergeCell ref="I4:I6"/>
    <mergeCell ref="J4:J6"/>
    <mergeCell ref="F4:F6"/>
    <mergeCell ref="G4:G6"/>
    <mergeCell ref="E4:E6"/>
    <mergeCell ref="A1:C1"/>
    <mergeCell ref="A2:C2"/>
    <mergeCell ref="A4:A6"/>
    <mergeCell ref="B4:B6"/>
    <mergeCell ref="C4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96CF-FA41-440D-A8CF-F091B87F3402}">
  <dimension ref="A1:F122"/>
  <sheetViews>
    <sheetView workbookViewId="0">
      <selection activeCell="C3" sqref="C3"/>
    </sheetView>
  </sheetViews>
  <sheetFormatPr defaultRowHeight="15" x14ac:dyDescent="0.25"/>
  <cols>
    <col min="2" max="3" width="22.42578125" customWidth="1"/>
  </cols>
  <sheetData>
    <row r="1" spans="1:6" x14ac:dyDescent="0.25">
      <c r="A1" s="26" t="s">
        <v>2</v>
      </c>
      <c r="B1" s="27" t="s">
        <v>3</v>
      </c>
      <c r="C1" s="25" t="s">
        <v>155</v>
      </c>
      <c r="D1" t="s">
        <v>148</v>
      </c>
      <c r="E1" t="s">
        <v>153</v>
      </c>
      <c r="F1" t="s">
        <v>154</v>
      </c>
    </row>
    <row r="2" spans="1:6" x14ac:dyDescent="0.25">
      <c r="A2" s="8">
        <v>2015</v>
      </c>
      <c r="B2" s="9" t="s">
        <v>4</v>
      </c>
      <c r="C2" s="28">
        <f>_xlfn.XLOOKUP(A2,$D$2:$D$11,$E$2:$E$11)</f>
        <v>3.77</v>
      </c>
      <c r="D2" s="24">
        <v>2015</v>
      </c>
      <c r="E2" s="24">
        <v>3.77</v>
      </c>
      <c r="F2">
        <f>E2</f>
        <v>3.77</v>
      </c>
    </row>
    <row r="3" spans="1:6" x14ac:dyDescent="0.25">
      <c r="A3" s="8">
        <v>2015</v>
      </c>
      <c r="B3" s="9" t="s">
        <v>5</v>
      </c>
      <c r="C3" s="28">
        <f t="shared" ref="C3:C66" si="0">_xlfn.XLOOKUP(A3,$D$2:$D$11,$E$2:$E$11)</f>
        <v>3.77</v>
      </c>
      <c r="D3" s="24">
        <v>2016</v>
      </c>
      <c r="E3" s="24">
        <v>3.96</v>
      </c>
      <c r="F3">
        <f t="shared" ref="F3:F12" si="1">E3</f>
        <v>3.96</v>
      </c>
    </row>
    <row r="4" spans="1:6" x14ac:dyDescent="0.25">
      <c r="A4" s="8">
        <v>2015</v>
      </c>
      <c r="B4" s="9" t="s">
        <v>6</v>
      </c>
      <c r="C4" s="28">
        <f t="shared" si="0"/>
        <v>3.77</v>
      </c>
      <c r="D4" s="24">
        <v>2017</v>
      </c>
      <c r="E4" s="24">
        <v>7.7</v>
      </c>
      <c r="F4">
        <f t="shared" si="1"/>
        <v>7.7</v>
      </c>
    </row>
    <row r="5" spans="1:6" x14ac:dyDescent="0.25">
      <c r="A5" s="8">
        <v>2015</v>
      </c>
      <c r="B5" s="9" t="s">
        <v>7</v>
      </c>
      <c r="C5" s="28">
        <f t="shared" si="0"/>
        <v>3.77</v>
      </c>
      <c r="D5" s="24">
        <v>2018</v>
      </c>
      <c r="E5" s="24">
        <v>2.14</v>
      </c>
      <c r="F5">
        <f t="shared" si="1"/>
        <v>2.14</v>
      </c>
    </row>
    <row r="6" spans="1:6" x14ac:dyDescent="0.25">
      <c r="A6" s="8">
        <v>2015</v>
      </c>
      <c r="B6" s="9" t="s">
        <v>8</v>
      </c>
      <c r="C6" s="28">
        <f t="shared" si="0"/>
        <v>3.77</v>
      </c>
      <c r="D6" s="24">
        <v>2019</v>
      </c>
      <c r="E6" s="24">
        <v>3.53</v>
      </c>
      <c r="F6">
        <f t="shared" si="1"/>
        <v>3.53</v>
      </c>
    </row>
    <row r="7" spans="1:6" x14ac:dyDescent="0.25">
      <c r="A7" s="8">
        <v>2015</v>
      </c>
      <c r="B7" s="9" t="s">
        <v>9</v>
      </c>
      <c r="C7" s="28">
        <f t="shared" si="0"/>
        <v>3.77</v>
      </c>
      <c r="D7" s="24">
        <v>2020</v>
      </c>
      <c r="E7" s="24">
        <v>6.15</v>
      </c>
      <c r="F7">
        <f t="shared" si="1"/>
        <v>6.15</v>
      </c>
    </row>
    <row r="8" spans="1:6" x14ac:dyDescent="0.25">
      <c r="A8" s="8">
        <v>2015</v>
      </c>
      <c r="B8" s="9" t="s">
        <v>10</v>
      </c>
      <c r="C8" s="28">
        <f t="shared" si="0"/>
        <v>3.77</v>
      </c>
      <c r="D8" s="24">
        <v>2021</v>
      </c>
      <c r="E8" s="24">
        <v>7.01</v>
      </c>
      <c r="F8">
        <f t="shared" si="1"/>
        <v>7.01</v>
      </c>
    </row>
    <row r="9" spans="1:6" x14ac:dyDescent="0.25">
      <c r="A9" s="8">
        <v>2015</v>
      </c>
      <c r="B9" s="9" t="s">
        <v>11</v>
      </c>
      <c r="C9" s="28">
        <f t="shared" si="0"/>
        <v>3.77</v>
      </c>
      <c r="D9" s="24">
        <v>2022</v>
      </c>
      <c r="E9" s="24">
        <v>49.72</v>
      </c>
      <c r="F9">
        <f t="shared" si="1"/>
        <v>49.72</v>
      </c>
    </row>
    <row r="10" spans="1:6" x14ac:dyDescent="0.25">
      <c r="A10" s="8">
        <v>2015</v>
      </c>
      <c r="B10" s="9" t="s">
        <v>12</v>
      </c>
      <c r="C10" s="28">
        <f t="shared" si="0"/>
        <v>3.77</v>
      </c>
      <c r="D10" s="24">
        <v>2023</v>
      </c>
      <c r="E10" s="24">
        <v>16.54</v>
      </c>
      <c r="F10">
        <f t="shared" si="1"/>
        <v>16.54</v>
      </c>
    </row>
    <row r="11" spans="1:6" x14ac:dyDescent="0.25">
      <c r="A11" s="8">
        <v>2015</v>
      </c>
      <c r="B11" s="9" t="s">
        <v>13</v>
      </c>
      <c r="C11" s="28">
        <f t="shared" si="0"/>
        <v>3.77</v>
      </c>
      <c r="D11" s="24">
        <v>2024</v>
      </c>
      <c r="E11" s="24">
        <v>-0.43</v>
      </c>
      <c r="F11">
        <f t="shared" si="1"/>
        <v>-0.43</v>
      </c>
    </row>
    <row r="12" spans="1:6" x14ac:dyDescent="0.25">
      <c r="A12" s="8">
        <v>2015</v>
      </c>
      <c r="B12" s="9" t="s">
        <v>14</v>
      </c>
      <c r="C12" s="28">
        <f t="shared" si="0"/>
        <v>3.77</v>
      </c>
      <c r="F12">
        <f t="shared" si="1"/>
        <v>0</v>
      </c>
    </row>
    <row r="13" spans="1:6" x14ac:dyDescent="0.25">
      <c r="A13" s="8">
        <v>2015</v>
      </c>
      <c r="B13" s="9" t="s">
        <v>15</v>
      </c>
      <c r="C13" s="28">
        <f t="shared" si="0"/>
        <v>3.77</v>
      </c>
    </row>
    <row r="14" spans="1:6" x14ac:dyDescent="0.25">
      <c r="A14" s="8">
        <v>2016</v>
      </c>
      <c r="B14" s="9" t="s">
        <v>4</v>
      </c>
      <c r="C14" s="28">
        <f t="shared" si="0"/>
        <v>3.96</v>
      </c>
    </row>
    <row r="15" spans="1:6" x14ac:dyDescent="0.25">
      <c r="A15" s="8">
        <v>2016</v>
      </c>
      <c r="B15" s="9" t="s">
        <v>5</v>
      </c>
      <c r="C15" s="28">
        <f t="shared" si="0"/>
        <v>3.96</v>
      </c>
    </row>
    <row r="16" spans="1:6" x14ac:dyDescent="0.25">
      <c r="A16" s="8">
        <v>2016</v>
      </c>
      <c r="B16" s="9" t="s">
        <v>6</v>
      </c>
      <c r="C16" s="28">
        <f t="shared" si="0"/>
        <v>3.96</v>
      </c>
    </row>
    <row r="17" spans="1:3" x14ac:dyDescent="0.25">
      <c r="A17" s="8">
        <v>2016</v>
      </c>
      <c r="B17" s="9" t="s">
        <v>7</v>
      </c>
      <c r="C17" s="28">
        <f t="shared" si="0"/>
        <v>3.96</v>
      </c>
    </row>
    <row r="18" spans="1:3" x14ac:dyDescent="0.25">
      <c r="A18" s="8">
        <v>2016</v>
      </c>
      <c r="B18" s="9" t="s">
        <v>8</v>
      </c>
      <c r="C18" s="28">
        <f t="shared" si="0"/>
        <v>3.96</v>
      </c>
    </row>
    <row r="19" spans="1:3" x14ac:dyDescent="0.25">
      <c r="A19" s="8">
        <v>2016</v>
      </c>
      <c r="B19" s="9" t="s">
        <v>9</v>
      </c>
      <c r="C19" s="28">
        <f t="shared" si="0"/>
        <v>3.96</v>
      </c>
    </row>
    <row r="20" spans="1:3" x14ac:dyDescent="0.25">
      <c r="A20" s="8">
        <v>2016</v>
      </c>
      <c r="B20" s="9" t="s">
        <v>10</v>
      </c>
      <c r="C20" s="28">
        <f t="shared" si="0"/>
        <v>3.96</v>
      </c>
    </row>
    <row r="21" spans="1:3" x14ac:dyDescent="0.25">
      <c r="A21" s="8">
        <v>2016</v>
      </c>
      <c r="B21" s="9" t="s">
        <v>11</v>
      </c>
      <c r="C21" s="28">
        <f t="shared" si="0"/>
        <v>3.96</v>
      </c>
    </row>
    <row r="22" spans="1:3" x14ac:dyDescent="0.25">
      <c r="A22" s="8">
        <v>2016</v>
      </c>
      <c r="B22" s="9" t="s">
        <v>12</v>
      </c>
      <c r="C22" s="28">
        <f t="shared" si="0"/>
        <v>3.96</v>
      </c>
    </row>
    <row r="23" spans="1:3" x14ac:dyDescent="0.25">
      <c r="A23" s="8">
        <v>2016</v>
      </c>
      <c r="B23" s="9" t="s">
        <v>13</v>
      </c>
      <c r="C23" s="28">
        <f t="shared" si="0"/>
        <v>3.96</v>
      </c>
    </row>
    <row r="24" spans="1:3" x14ac:dyDescent="0.25">
      <c r="A24" s="8">
        <v>2016</v>
      </c>
      <c r="B24" s="9" t="s">
        <v>14</v>
      </c>
      <c r="C24" s="28">
        <f t="shared" si="0"/>
        <v>3.96</v>
      </c>
    </row>
    <row r="25" spans="1:3" x14ac:dyDescent="0.25">
      <c r="A25" s="8">
        <v>2016</v>
      </c>
      <c r="B25" s="9" t="s">
        <v>15</v>
      </c>
      <c r="C25" s="28">
        <f t="shared" si="0"/>
        <v>3.96</v>
      </c>
    </row>
    <row r="26" spans="1:3" x14ac:dyDescent="0.25">
      <c r="A26" s="8">
        <v>2017</v>
      </c>
      <c r="B26" s="9" t="s">
        <v>4</v>
      </c>
      <c r="C26" s="28">
        <f t="shared" si="0"/>
        <v>7.7</v>
      </c>
    </row>
    <row r="27" spans="1:3" x14ac:dyDescent="0.25">
      <c r="A27" s="8">
        <v>2017</v>
      </c>
      <c r="B27" s="9" t="s">
        <v>5</v>
      </c>
      <c r="C27" s="28">
        <f t="shared" si="0"/>
        <v>7.7</v>
      </c>
    </row>
    <row r="28" spans="1:3" x14ac:dyDescent="0.25">
      <c r="A28" s="8">
        <v>2017</v>
      </c>
      <c r="B28" s="9" t="s">
        <v>6</v>
      </c>
      <c r="C28" s="28">
        <f t="shared" si="0"/>
        <v>7.7</v>
      </c>
    </row>
    <row r="29" spans="1:3" x14ac:dyDescent="0.25">
      <c r="A29" s="8">
        <v>2017</v>
      </c>
      <c r="B29" s="9" t="s">
        <v>7</v>
      </c>
      <c r="C29" s="28">
        <f t="shared" si="0"/>
        <v>7.7</v>
      </c>
    </row>
    <row r="30" spans="1:3" x14ac:dyDescent="0.25">
      <c r="A30" s="8">
        <v>2017</v>
      </c>
      <c r="B30" s="9" t="s">
        <v>8</v>
      </c>
      <c r="C30" s="28">
        <f t="shared" si="0"/>
        <v>7.7</v>
      </c>
    </row>
    <row r="31" spans="1:3" x14ac:dyDescent="0.25">
      <c r="A31" s="8">
        <v>2017</v>
      </c>
      <c r="B31" s="9" t="s">
        <v>9</v>
      </c>
      <c r="C31" s="28">
        <f t="shared" si="0"/>
        <v>7.7</v>
      </c>
    </row>
    <row r="32" spans="1:3" x14ac:dyDescent="0.25">
      <c r="A32" s="8">
        <v>2017</v>
      </c>
      <c r="B32" s="9" t="s">
        <v>10</v>
      </c>
      <c r="C32" s="28">
        <f t="shared" si="0"/>
        <v>7.7</v>
      </c>
    </row>
    <row r="33" spans="1:3" x14ac:dyDescent="0.25">
      <c r="A33" s="8">
        <v>2017</v>
      </c>
      <c r="B33" s="9" t="s">
        <v>11</v>
      </c>
      <c r="C33" s="28">
        <f t="shared" si="0"/>
        <v>7.7</v>
      </c>
    </row>
    <row r="34" spans="1:3" x14ac:dyDescent="0.25">
      <c r="A34" s="8">
        <v>2017</v>
      </c>
      <c r="B34" s="9" t="s">
        <v>12</v>
      </c>
      <c r="C34" s="28">
        <f t="shared" si="0"/>
        <v>7.7</v>
      </c>
    </row>
    <row r="35" spans="1:3" x14ac:dyDescent="0.25">
      <c r="A35" s="8">
        <v>2017</v>
      </c>
      <c r="B35" s="9" t="s">
        <v>13</v>
      </c>
      <c r="C35" s="28">
        <f t="shared" si="0"/>
        <v>7.7</v>
      </c>
    </row>
    <row r="36" spans="1:3" x14ac:dyDescent="0.25">
      <c r="A36" s="8">
        <v>2017</v>
      </c>
      <c r="B36" s="9" t="s">
        <v>14</v>
      </c>
      <c r="C36" s="28">
        <f t="shared" si="0"/>
        <v>7.7</v>
      </c>
    </row>
    <row r="37" spans="1:3" x14ac:dyDescent="0.25">
      <c r="A37" s="8">
        <v>2017</v>
      </c>
      <c r="B37" s="9" t="s">
        <v>15</v>
      </c>
      <c r="C37" s="28">
        <f t="shared" si="0"/>
        <v>7.7</v>
      </c>
    </row>
    <row r="38" spans="1:3" x14ac:dyDescent="0.25">
      <c r="A38" s="8">
        <v>2018</v>
      </c>
      <c r="B38" s="9" t="s">
        <v>4</v>
      </c>
      <c r="C38" s="28">
        <f t="shared" si="0"/>
        <v>2.14</v>
      </c>
    </row>
    <row r="39" spans="1:3" x14ac:dyDescent="0.25">
      <c r="A39" s="8">
        <v>2018</v>
      </c>
      <c r="B39" s="9" t="s">
        <v>5</v>
      </c>
      <c r="C39" s="28">
        <f t="shared" si="0"/>
        <v>2.14</v>
      </c>
    </row>
    <row r="40" spans="1:3" x14ac:dyDescent="0.25">
      <c r="A40" s="8">
        <v>2018</v>
      </c>
      <c r="B40" s="9" t="s">
        <v>6</v>
      </c>
      <c r="C40" s="28">
        <f t="shared" si="0"/>
        <v>2.14</v>
      </c>
    </row>
    <row r="41" spans="1:3" x14ac:dyDescent="0.25">
      <c r="A41" s="8">
        <v>2018</v>
      </c>
      <c r="B41" s="9" t="s">
        <v>7</v>
      </c>
      <c r="C41" s="28">
        <f t="shared" si="0"/>
        <v>2.14</v>
      </c>
    </row>
    <row r="42" spans="1:3" x14ac:dyDescent="0.25">
      <c r="A42" s="8">
        <v>2018</v>
      </c>
      <c r="B42" s="9" t="s">
        <v>8</v>
      </c>
      <c r="C42" s="28">
        <f t="shared" si="0"/>
        <v>2.14</v>
      </c>
    </row>
    <row r="43" spans="1:3" x14ac:dyDescent="0.25">
      <c r="A43" s="8">
        <v>2018</v>
      </c>
      <c r="B43" s="9" t="s">
        <v>9</v>
      </c>
      <c r="C43" s="28">
        <f t="shared" si="0"/>
        <v>2.14</v>
      </c>
    </row>
    <row r="44" spans="1:3" x14ac:dyDescent="0.25">
      <c r="A44" s="8">
        <v>2018</v>
      </c>
      <c r="B44" s="9" t="s">
        <v>10</v>
      </c>
      <c r="C44" s="28">
        <f t="shared" si="0"/>
        <v>2.14</v>
      </c>
    </row>
    <row r="45" spans="1:3" x14ac:dyDescent="0.25">
      <c r="A45" s="8">
        <v>2018</v>
      </c>
      <c r="B45" s="9" t="s">
        <v>11</v>
      </c>
      <c r="C45" s="28">
        <f t="shared" si="0"/>
        <v>2.14</v>
      </c>
    </row>
    <row r="46" spans="1:3" x14ac:dyDescent="0.25">
      <c r="A46" s="8">
        <v>2018</v>
      </c>
      <c r="B46" s="9" t="s">
        <v>12</v>
      </c>
      <c r="C46" s="28">
        <f t="shared" si="0"/>
        <v>2.14</v>
      </c>
    </row>
    <row r="47" spans="1:3" x14ac:dyDescent="0.25">
      <c r="A47" s="8">
        <v>2018</v>
      </c>
      <c r="B47" s="9" t="s">
        <v>13</v>
      </c>
      <c r="C47" s="28">
        <f t="shared" si="0"/>
        <v>2.14</v>
      </c>
    </row>
    <row r="48" spans="1:3" x14ac:dyDescent="0.25">
      <c r="A48" s="8">
        <v>2018</v>
      </c>
      <c r="B48" s="9" t="s">
        <v>14</v>
      </c>
      <c r="C48" s="28">
        <f t="shared" si="0"/>
        <v>2.14</v>
      </c>
    </row>
    <row r="49" spans="1:3" x14ac:dyDescent="0.25">
      <c r="A49" s="8">
        <v>2018</v>
      </c>
      <c r="B49" s="9" t="s">
        <v>15</v>
      </c>
      <c r="C49" s="28">
        <f t="shared" si="0"/>
        <v>2.14</v>
      </c>
    </row>
    <row r="50" spans="1:3" x14ac:dyDescent="0.25">
      <c r="A50" s="8">
        <v>2019</v>
      </c>
      <c r="B50" s="9" t="s">
        <v>4</v>
      </c>
      <c r="C50" s="28">
        <f t="shared" si="0"/>
        <v>3.53</v>
      </c>
    </row>
    <row r="51" spans="1:3" x14ac:dyDescent="0.25">
      <c r="A51" s="8">
        <v>2019</v>
      </c>
      <c r="B51" s="9" t="s">
        <v>5</v>
      </c>
      <c r="C51" s="28">
        <f t="shared" si="0"/>
        <v>3.53</v>
      </c>
    </row>
    <row r="52" spans="1:3" x14ac:dyDescent="0.25">
      <c r="A52" s="8">
        <v>2019</v>
      </c>
      <c r="B52" s="9" t="s">
        <v>6</v>
      </c>
      <c r="C52" s="28">
        <f t="shared" si="0"/>
        <v>3.53</v>
      </c>
    </row>
    <row r="53" spans="1:3" x14ac:dyDescent="0.25">
      <c r="A53" s="8">
        <v>2019</v>
      </c>
      <c r="B53" s="9" t="s">
        <v>7</v>
      </c>
      <c r="C53" s="28">
        <f t="shared" si="0"/>
        <v>3.53</v>
      </c>
    </row>
    <row r="54" spans="1:3" x14ac:dyDescent="0.25">
      <c r="A54" s="8">
        <v>2019</v>
      </c>
      <c r="B54" s="9" t="s">
        <v>8</v>
      </c>
      <c r="C54" s="28">
        <f t="shared" si="0"/>
        <v>3.53</v>
      </c>
    </row>
    <row r="55" spans="1:3" x14ac:dyDescent="0.25">
      <c r="A55" s="8">
        <v>2019</v>
      </c>
      <c r="B55" s="9" t="s">
        <v>9</v>
      </c>
      <c r="C55" s="28">
        <f t="shared" si="0"/>
        <v>3.53</v>
      </c>
    </row>
    <row r="56" spans="1:3" x14ac:dyDescent="0.25">
      <c r="A56" s="8">
        <v>2019</v>
      </c>
      <c r="B56" s="9" t="s">
        <v>10</v>
      </c>
      <c r="C56" s="28">
        <f t="shared" si="0"/>
        <v>3.53</v>
      </c>
    </row>
    <row r="57" spans="1:3" x14ac:dyDescent="0.25">
      <c r="A57" s="8">
        <v>2019</v>
      </c>
      <c r="B57" s="9" t="s">
        <v>11</v>
      </c>
      <c r="C57" s="28">
        <f t="shared" si="0"/>
        <v>3.53</v>
      </c>
    </row>
    <row r="58" spans="1:3" x14ac:dyDescent="0.25">
      <c r="A58" s="8">
        <v>2019</v>
      </c>
      <c r="B58" s="9" t="s">
        <v>12</v>
      </c>
      <c r="C58" s="28">
        <f t="shared" si="0"/>
        <v>3.53</v>
      </c>
    </row>
    <row r="59" spans="1:3" x14ac:dyDescent="0.25">
      <c r="A59" s="8">
        <v>2019</v>
      </c>
      <c r="B59" s="9" t="s">
        <v>13</v>
      </c>
      <c r="C59" s="28">
        <f t="shared" si="0"/>
        <v>3.53</v>
      </c>
    </row>
    <row r="60" spans="1:3" x14ac:dyDescent="0.25">
      <c r="A60" s="8">
        <v>2019</v>
      </c>
      <c r="B60" s="9" t="s">
        <v>14</v>
      </c>
      <c r="C60" s="28">
        <f t="shared" si="0"/>
        <v>3.53</v>
      </c>
    </row>
    <row r="61" spans="1:3" x14ac:dyDescent="0.25">
      <c r="A61" s="8">
        <v>2019</v>
      </c>
      <c r="B61" s="9" t="s">
        <v>15</v>
      </c>
      <c r="C61" s="28">
        <f t="shared" si="0"/>
        <v>3.53</v>
      </c>
    </row>
    <row r="62" spans="1:3" x14ac:dyDescent="0.25">
      <c r="A62" s="8">
        <v>2020</v>
      </c>
      <c r="B62" s="9" t="s">
        <v>4</v>
      </c>
      <c r="C62" s="28">
        <f t="shared" si="0"/>
        <v>6.15</v>
      </c>
    </row>
    <row r="63" spans="1:3" x14ac:dyDescent="0.25">
      <c r="A63" s="8">
        <v>2020</v>
      </c>
      <c r="B63" s="9" t="s">
        <v>5</v>
      </c>
      <c r="C63" s="28">
        <f t="shared" si="0"/>
        <v>6.15</v>
      </c>
    </row>
    <row r="64" spans="1:3" x14ac:dyDescent="0.25">
      <c r="A64" s="8">
        <v>2020</v>
      </c>
      <c r="B64" s="9" t="s">
        <v>6</v>
      </c>
      <c r="C64" s="28">
        <f t="shared" si="0"/>
        <v>6.15</v>
      </c>
    </row>
    <row r="65" spans="1:3" x14ac:dyDescent="0.25">
      <c r="A65" s="8">
        <v>2020</v>
      </c>
      <c r="B65" s="9" t="s">
        <v>7</v>
      </c>
      <c r="C65" s="28">
        <f t="shared" si="0"/>
        <v>6.15</v>
      </c>
    </row>
    <row r="66" spans="1:3" x14ac:dyDescent="0.25">
      <c r="A66" s="8">
        <v>2020</v>
      </c>
      <c r="B66" s="9" t="s">
        <v>8</v>
      </c>
      <c r="C66" s="28">
        <f t="shared" si="0"/>
        <v>6.15</v>
      </c>
    </row>
    <row r="67" spans="1:3" x14ac:dyDescent="0.25">
      <c r="A67" s="8">
        <v>2020</v>
      </c>
      <c r="B67" s="9" t="s">
        <v>9</v>
      </c>
      <c r="C67" s="28">
        <f t="shared" ref="C67:C122" si="2">_xlfn.XLOOKUP(A67,$D$2:$D$11,$E$2:$E$11)</f>
        <v>6.15</v>
      </c>
    </row>
    <row r="68" spans="1:3" x14ac:dyDescent="0.25">
      <c r="A68" s="8">
        <v>2020</v>
      </c>
      <c r="B68" s="9" t="s">
        <v>10</v>
      </c>
      <c r="C68" s="28">
        <f t="shared" si="2"/>
        <v>6.15</v>
      </c>
    </row>
    <row r="69" spans="1:3" x14ac:dyDescent="0.25">
      <c r="A69" s="8">
        <v>2020</v>
      </c>
      <c r="B69" s="9" t="s">
        <v>11</v>
      </c>
      <c r="C69" s="28">
        <f t="shared" si="2"/>
        <v>6.15</v>
      </c>
    </row>
    <row r="70" spans="1:3" x14ac:dyDescent="0.25">
      <c r="A70" s="8">
        <v>2020</v>
      </c>
      <c r="B70" s="9" t="s">
        <v>12</v>
      </c>
      <c r="C70" s="28">
        <f t="shared" si="2"/>
        <v>6.15</v>
      </c>
    </row>
    <row r="71" spans="1:3" x14ac:dyDescent="0.25">
      <c r="A71" s="8">
        <v>2020</v>
      </c>
      <c r="B71" s="9" t="s">
        <v>13</v>
      </c>
      <c r="C71" s="28">
        <f t="shared" si="2"/>
        <v>6.15</v>
      </c>
    </row>
    <row r="72" spans="1:3" x14ac:dyDescent="0.25">
      <c r="A72" s="8">
        <v>2020</v>
      </c>
      <c r="B72" s="9" t="s">
        <v>14</v>
      </c>
      <c r="C72" s="28">
        <f t="shared" si="2"/>
        <v>6.15</v>
      </c>
    </row>
    <row r="73" spans="1:3" x14ac:dyDescent="0.25">
      <c r="A73" s="8">
        <v>2020</v>
      </c>
      <c r="B73" s="9" t="s">
        <v>15</v>
      </c>
      <c r="C73" s="28">
        <f t="shared" si="2"/>
        <v>6.15</v>
      </c>
    </row>
    <row r="74" spans="1:3" x14ac:dyDescent="0.25">
      <c r="A74" s="8">
        <v>2021</v>
      </c>
      <c r="B74" s="9" t="s">
        <v>4</v>
      </c>
      <c r="C74" s="28">
        <f t="shared" si="2"/>
        <v>7.01</v>
      </c>
    </row>
    <row r="75" spans="1:3" x14ac:dyDescent="0.25">
      <c r="A75" s="8">
        <v>2021</v>
      </c>
      <c r="B75" s="9" t="s">
        <v>5</v>
      </c>
      <c r="C75" s="28">
        <f t="shared" si="2"/>
        <v>7.01</v>
      </c>
    </row>
    <row r="76" spans="1:3" x14ac:dyDescent="0.25">
      <c r="A76" s="8">
        <v>2021</v>
      </c>
      <c r="B76" s="9" t="s">
        <v>6</v>
      </c>
      <c r="C76" s="28">
        <f t="shared" si="2"/>
        <v>7.01</v>
      </c>
    </row>
    <row r="77" spans="1:3" x14ac:dyDescent="0.25">
      <c r="A77" s="8">
        <v>2021</v>
      </c>
      <c r="B77" s="9" t="s">
        <v>7</v>
      </c>
      <c r="C77" s="28">
        <f t="shared" si="2"/>
        <v>7.01</v>
      </c>
    </row>
    <row r="78" spans="1:3" x14ac:dyDescent="0.25">
      <c r="A78" s="8">
        <v>2021</v>
      </c>
      <c r="B78" s="9" t="s">
        <v>8</v>
      </c>
      <c r="C78" s="28">
        <f t="shared" si="2"/>
        <v>7.01</v>
      </c>
    </row>
    <row r="79" spans="1:3" x14ac:dyDescent="0.25">
      <c r="A79" s="8">
        <v>2021</v>
      </c>
      <c r="B79" s="9" t="s">
        <v>9</v>
      </c>
      <c r="C79" s="28">
        <f t="shared" si="2"/>
        <v>7.01</v>
      </c>
    </row>
    <row r="80" spans="1:3" x14ac:dyDescent="0.25">
      <c r="A80" s="8">
        <v>2021</v>
      </c>
      <c r="B80" s="9" t="s">
        <v>10</v>
      </c>
      <c r="C80" s="28">
        <f t="shared" si="2"/>
        <v>7.01</v>
      </c>
    </row>
    <row r="81" spans="1:3" x14ac:dyDescent="0.25">
      <c r="A81" s="8">
        <v>2021</v>
      </c>
      <c r="B81" s="9" t="s">
        <v>11</v>
      </c>
      <c r="C81" s="28">
        <f t="shared" si="2"/>
        <v>7.01</v>
      </c>
    </row>
    <row r="82" spans="1:3" x14ac:dyDescent="0.25">
      <c r="A82" s="8">
        <v>2021</v>
      </c>
      <c r="B82" s="9" t="s">
        <v>12</v>
      </c>
      <c r="C82" s="28">
        <f t="shared" si="2"/>
        <v>7.01</v>
      </c>
    </row>
    <row r="83" spans="1:3" x14ac:dyDescent="0.25">
      <c r="A83" s="8">
        <v>2021</v>
      </c>
      <c r="B83" s="9" t="s">
        <v>13</v>
      </c>
      <c r="C83" s="28">
        <f t="shared" si="2"/>
        <v>7.01</v>
      </c>
    </row>
    <row r="84" spans="1:3" x14ac:dyDescent="0.25">
      <c r="A84" s="8">
        <v>2021</v>
      </c>
      <c r="B84" s="9" t="s">
        <v>14</v>
      </c>
      <c r="C84" s="28">
        <f t="shared" si="2"/>
        <v>7.01</v>
      </c>
    </row>
    <row r="85" spans="1:3" x14ac:dyDescent="0.25">
      <c r="A85" s="8">
        <v>2021</v>
      </c>
      <c r="B85" s="9" t="s">
        <v>15</v>
      </c>
      <c r="C85" s="28">
        <f t="shared" si="2"/>
        <v>7.01</v>
      </c>
    </row>
    <row r="86" spans="1:3" x14ac:dyDescent="0.25">
      <c r="A86" s="8">
        <v>2022</v>
      </c>
      <c r="B86" s="9" t="s">
        <v>4</v>
      </c>
      <c r="C86" s="28">
        <f t="shared" si="2"/>
        <v>49.72</v>
      </c>
    </row>
    <row r="87" spans="1:3" x14ac:dyDescent="0.25">
      <c r="A87" s="8">
        <v>2022</v>
      </c>
      <c r="B87" s="9" t="s">
        <v>5</v>
      </c>
      <c r="C87" s="28">
        <f t="shared" si="2"/>
        <v>49.72</v>
      </c>
    </row>
    <row r="88" spans="1:3" x14ac:dyDescent="0.25">
      <c r="A88" s="8">
        <v>2022</v>
      </c>
      <c r="B88" s="9" t="s">
        <v>6</v>
      </c>
      <c r="C88" s="28">
        <f t="shared" si="2"/>
        <v>49.72</v>
      </c>
    </row>
    <row r="89" spans="1:3" x14ac:dyDescent="0.25">
      <c r="A89" s="8">
        <v>2022</v>
      </c>
      <c r="B89" s="9" t="s">
        <v>7</v>
      </c>
      <c r="C89" s="28">
        <f t="shared" si="2"/>
        <v>49.72</v>
      </c>
    </row>
    <row r="90" spans="1:3" x14ac:dyDescent="0.25">
      <c r="A90" s="8">
        <v>2022</v>
      </c>
      <c r="B90" s="9" t="s">
        <v>8</v>
      </c>
      <c r="C90" s="28">
        <f t="shared" si="2"/>
        <v>49.72</v>
      </c>
    </row>
    <row r="91" spans="1:3" x14ac:dyDescent="0.25">
      <c r="A91" s="8">
        <v>2022</v>
      </c>
      <c r="B91" s="9" t="s">
        <v>9</v>
      </c>
      <c r="C91" s="28">
        <f t="shared" si="2"/>
        <v>49.72</v>
      </c>
    </row>
    <row r="92" spans="1:3" x14ac:dyDescent="0.25">
      <c r="A92" s="8">
        <v>2022</v>
      </c>
      <c r="B92" s="9" t="s">
        <v>10</v>
      </c>
      <c r="C92" s="28">
        <f t="shared" si="2"/>
        <v>49.72</v>
      </c>
    </row>
    <row r="93" spans="1:3" x14ac:dyDescent="0.25">
      <c r="A93" s="8">
        <v>2022</v>
      </c>
      <c r="B93" s="9" t="s">
        <v>11</v>
      </c>
      <c r="C93" s="28">
        <f t="shared" si="2"/>
        <v>49.72</v>
      </c>
    </row>
    <row r="94" spans="1:3" x14ac:dyDescent="0.25">
      <c r="A94" s="8">
        <v>2022</v>
      </c>
      <c r="B94" s="9" t="s">
        <v>12</v>
      </c>
      <c r="C94" s="28">
        <f t="shared" si="2"/>
        <v>49.72</v>
      </c>
    </row>
    <row r="95" spans="1:3" x14ac:dyDescent="0.25">
      <c r="A95" s="8">
        <v>2022</v>
      </c>
      <c r="B95" s="9" t="s">
        <v>13</v>
      </c>
      <c r="C95" s="28">
        <f t="shared" si="2"/>
        <v>49.72</v>
      </c>
    </row>
    <row r="96" spans="1:3" x14ac:dyDescent="0.25">
      <c r="A96" s="8">
        <v>2022</v>
      </c>
      <c r="B96" s="9" t="s">
        <v>14</v>
      </c>
      <c r="C96" s="28">
        <f t="shared" si="2"/>
        <v>49.72</v>
      </c>
    </row>
    <row r="97" spans="1:3" x14ac:dyDescent="0.25">
      <c r="A97" s="8">
        <v>2022</v>
      </c>
      <c r="B97" s="9" t="s">
        <v>15</v>
      </c>
      <c r="C97" s="28">
        <f t="shared" si="2"/>
        <v>49.72</v>
      </c>
    </row>
    <row r="98" spans="1:3" x14ac:dyDescent="0.25">
      <c r="A98" s="8">
        <v>2023</v>
      </c>
      <c r="B98" s="9" t="s">
        <v>4</v>
      </c>
      <c r="C98" s="28">
        <f t="shared" si="2"/>
        <v>16.54</v>
      </c>
    </row>
    <row r="99" spans="1:3" x14ac:dyDescent="0.25">
      <c r="A99" s="8">
        <v>2023</v>
      </c>
      <c r="B99" s="9" t="s">
        <v>5</v>
      </c>
      <c r="C99" s="28">
        <f t="shared" si="2"/>
        <v>16.54</v>
      </c>
    </row>
    <row r="100" spans="1:3" x14ac:dyDescent="0.25">
      <c r="A100" s="8">
        <v>2023</v>
      </c>
      <c r="B100" s="9" t="s">
        <v>6</v>
      </c>
      <c r="C100" s="28">
        <f t="shared" si="2"/>
        <v>16.54</v>
      </c>
    </row>
    <row r="101" spans="1:3" x14ac:dyDescent="0.25">
      <c r="A101" s="8">
        <v>2023</v>
      </c>
      <c r="B101" s="9" t="s">
        <v>7</v>
      </c>
      <c r="C101" s="28">
        <f t="shared" si="2"/>
        <v>16.54</v>
      </c>
    </row>
    <row r="102" spans="1:3" x14ac:dyDescent="0.25">
      <c r="A102" s="8">
        <v>2023</v>
      </c>
      <c r="B102" s="9" t="s">
        <v>8</v>
      </c>
      <c r="C102" s="28">
        <f t="shared" si="2"/>
        <v>16.54</v>
      </c>
    </row>
    <row r="103" spans="1:3" x14ac:dyDescent="0.25">
      <c r="A103" s="8">
        <v>2023</v>
      </c>
      <c r="B103" s="9" t="s">
        <v>9</v>
      </c>
      <c r="C103" s="28">
        <f t="shared" si="2"/>
        <v>16.54</v>
      </c>
    </row>
    <row r="104" spans="1:3" x14ac:dyDescent="0.25">
      <c r="A104" s="8">
        <v>2023</v>
      </c>
      <c r="B104" s="9" t="s">
        <v>10</v>
      </c>
      <c r="C104" s="28">
        <f t="shared" si="2"/>
        <v>16.54</v>
      </c>
    </row>
    <row r="105" spans="1:3" x14ac:dyDescent="0.25">
      <c r="A105" s="8">
        <v>2023</v>
      </c>
      <c r="B105" s="9" t="s">
        <v>11</v>
      </c>
      <c r="C105" s="28">
        <f t="shared" si="2"/>
        <v>16.54</v>
      </c>
    </row>
    <row r="106" spans="1:3" x14ac:dyDescent="0.25">
      <c r="A106" s="8">
        <v>2023</v>
      </c>
      <c r="B106" s="9" t="s">
        <v>12</v>
      </c>
      <c r="C106" s="28">
        <f t="shared" si="2"/>
        <v>16.54</v>
      </c>
    </row>
    <row r="107" spans="1:3" x14ac:dyDescent="0.25">
      <c r="A107" s="8">
        <v>2023</v>
      </c>
      <c r="B107" s="9" t="s">
        <v>13</v>
      </c>
      <c r="C107" s="28">
        <f t="shared" si="2"/>
        <v>16.54</v>
      </c>
    </row>
    <row r="108" spans="1:3" x14ac:dyDescent="0.25">
      <c r="A108" s="8">
        <v>2023</v>
      </c>
      <c r="B108" s="9" t="s">
        <v>14</v>
      </c>
      <c r="C108" s="28">
        <f t="shared" si="2"/>
        <v>16.54</v>
      </c>
    </row>
    <row r="109" spans="1:3" x14ac:dyDescent="0.25">
      <c r="A109" s="8">
        <v>2023</v>
      </c>
      <c r="B109" s="9" t="s">
        <v>15</v>
      </c>
      <c r="C109" s="28">
        <f t="shared" si="2"/>
        <v>16.54</v>
      </c>
    </row>
    <row r="110" spans="1:3" x14ac:dyDescent="0.25">
      <c r="A110" s="8">
        <v>2024</v>
      </c>
      <c r="B110" s="9" t="s">
        <v>4</v>
      </c>
      <c r="C110" s="28">
        <f t="shared" si="2"/>
        <v>-0.43</v>
      </c>
    </row>
    <row r="111" spans="1:3" x14ac:dyDescent="0.25">
      <c r="A111" s="8">
        <v>2024</v>
      </c>
      <c r="B111" s="9" t="s">
        <v>5</v>
      </c>
      <c r="C111" s="28">
        <f t="shared" si="2"/>
        <v>-0.43</v>
      </c>
    </row>
    <row r="112" spans="1:3" x14ac:dyDescent="0.25">
      <c r="A112" s="8">
        <v>2024</v>
      </c>
      <c r="B112" s="9" t="s">
        <v>6</v>
      </c>
      <c r="C112" s="28">
        <f t="shared" si="2"/>
        <v>-0.43</v>
      </c>
    </row>
    <row r="113" spans="1:3" x14ac:dyDescent="0.25">
      <c r="A113" s="8">
        <v>2024</v>
      </c>
      <c r="B113" s="9" t="s">
        <v>7</v>
      </c>
      <c r="C113" s="28">
        <f t="shared" si="2"/>
        <v>-0.43</v>
      </c>
    </row>
    <row r="114" spans="1:3" x14ac:dyDescent="0.25">
      <c r="A114" s="8">
        <v>2024</v>
      </c>
      <c r="B114" s="9" t="s">
        <v>8</v>
      </c>
      <c r="C114" s="28">
        <f t="shared" si="2"/>
        <v>-0.43</v>
      </c>
    </row>
    <row r="115" spans="1:3" x14ac:dyDescent="0.25">
      <c r="A115" s="8">
        <v>2024</v>
      </c>
      <c r="B115" s="9" t="s">
        <v>9</v>
      </c>
      <c r="C115" s="28">
        <f t="shared" si="2"/>
        <v>-0.43</v>
      </c>
    </row>
    <row r="116" spans="1:3" x14ac:dyDescent="0.25">
      <c r="A116" s="8">
        <v>2024</v>
      </c>
      <c r="B116" s="9" t="s">
        <v>10</v>
      </c>
      <c r="C116" s="28">
        <f t="shared" si="2"/>
        <v>-0.43</v>
      </c>
    </row>
    <row r="117" spans="1:3" x14ac:dyDescent="0.25">
      <c r="A117" s="8">
        <v>2024</v>
      </c>
      <c r="B117" s="9" t="s">
        <v>11</v>
      </c>
      <c r="C117" s="28">
        <f t="shared" si="2"/>
        <v>-0.43</v>
      </c>
    </row>
    <row r="118" spans="1:3" x14ac:dyDescent="0.25">
      <c r="A118" s="8">
        <v>2024</v>
      </c>
      <c r="B118" s="9" t="s">
        <v>12</v>
      </c>
      <c r="C118" s="28">
        <f t="shared" si="2"/>
        <v>-0.43</v>
      </c>
    </row>
    <row r="119" spans="1:3" x14ac:dyDescent="0.25">
      <c r="A119" s="8">
        <v>2024</v>
      </c>
      <c r="B119" s="9" t="s">
        <v>13</v>
      </c>
      <c r="C119" s="28">
        <f t="shared" si="2"/>
        <v>-0.43</v>
      </c>
    </row>
    <row r="120" spans="1:3" x14ac:dyDescent="0.25">
      <c r="A120" s="8">
        <v>2024</v>
      </c>
      <c r="B120" s="9" t="s">
        <v>14</v>
      </c>
      <c r="C120" s="28">
        <f t="shared" si="2"/>
        <v>-0.43</v>
      </c>
    </row>
    <row r="121" spans="1:3" x14ac:dyDescent="0.25">
      <c r="A121" s="8">
        <v>2024</v>
      </c>
      <c r="B121" s="9" t="s">
        <v>15</v>
      </c>
      <c r="C121" s="28">
        <f t="shared" si="2"/>
        <v>-0.43</v>
      </c>
    </row>
    <row r="122" spans="1:3" x14ac:dyDescent="0.25">
      <c r="A122" s="8">
        <v>2025</v>
      </c>
      <c r="B122" s="9" t="s">
        <v>4</v>
      </c>
      <c r="C122" s="28" t="e">
        <f t="shared" si="2"/>
        <v>#N/A</v>
      </c>
    </row>
  </sheetData>
  <autoFilter ref="D1:E11" xr:uid="{264A96CF-FA41-440D-A8CF-F091B87F3402}"/>
  <sortState xmlns:xlrd2="http://schemas.microsoft.com/office/spreadsheetml/2017/richdata2" ref="D2:E11">
    <sortCondition ref="D2:D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B15A-B921-4CD4-BBD7-B9D0FE11333E}">
  <dimension ref="A1:A122"/>
  <sheetViews>
    <sheetView workbookViewId="0">
      <selection sqref="A1:A122"/>
    </sheetView>
  </sheetViews>
  <sheetFormatPr defaultRowHeight="15" x14ac:dyDescent="0.25"/>
  <sheetData>
    <row r="1" spans="1:1" x14ac:dyDescent="0.25">
      <c r="A1" t="s">
        <v>156</v>
      </c>
    </row>
    <row r="2" spans="1:1" x14ac:dyDescent="0.25">
      <c r="A2">
        <v>4.2060000000000004</v>
      </c>
    </row>
    <row r="3" spans="1:1" x14ac:dyDescent="0.25">
      <c r="A3">
        <v>4.2060000000000004</v>
      </c>
    </row>
    <row r="4" spans="1:1" x14ac:dyDescent="0.25">
      <c r="A4">
        <v>4.2060000000000004</v>
      </c>
    </row>
    <row r="5" spans="1:1" x14ac:dyDescent="0.25">
      <c r="A5">
        <v>4.2060000000000004</v>
      </c>
    </row>
    <row r="6" spans="1:1" x14ac:dyDescent="0.25">
      <c r="A6">
        <v>4.2060000000000004</v>
      </c>
    </row>
    <row r="7" spans="1:1" x14ac:dyDescent="0.25">
      <c r="A7">
        <v>4.2060000000000004</v>
      </c>
    </row>
    <row r="8" spans="1:1" x14ac:dyDescent="0.25">
      <c r="A8">
        <v>4.2060000000000004</v>
      </c>
    </row>
    <row r="9" spans="1:1" x14ac:dyDescent="0.25">
      <c r="A9">
        <v>4.2060000000000004</v>
      </c>
    </row>
    <row r="10" spans="1:1" x14ac:dyDescent="0.25">
      <c r="A10">
        <v>4.2060000000000004</v>
      </c>
    </row>
    <row r="11" spans="1:1" x14ac:dyDescent="0.25">
      <c r="A11">
        <v>4.2060000000000004</v>
      </c>
    </row>
    <row r="12" spans="1:1" x14ac:dyDescent="0.25">
      <c r="A12">
        <v>4.2060000000000004</v>
      </c>
    </row>
    <row r="13" spans="1:1" x14ac:dyDescent="0.25">
      <c r="A13">
        <v>4.2060000000000004</v>
      </c>
    </row>
    <row r="14" spans="1:1" x14ac:dyDescent="0.25">
      <c r="A14">
        <v>5.0536000000000003</v>
      </c>
    </row>
    <row r="15" spans="1:1" x14ac:dyDescent="0.25">
      <c r="A15">
        <v>5.0536000000000003</v>
      </c>
    </row>
    <row r="16" spans="1:1" x14ac:dyDescent="0.25">
      <c r="A16">
        <v>5.0536000000000003</v>
      </c>
    </row>
    <row r="17" spans="1:1" x14ac:dyDescent="0.25">
      <c r="A17">
        <v>5.0536000000000003</v>
      </c>
    </row>
    <row r="18" spans="1:1" x14ac:dyDescent="0.25">
      <c r="A18">
        <v>5.0536000000000003</v>
      </c>
    </row>
    <row r="19" spans="1:1" x14ac:dyDescent="0.25">
      <c r="A19">
        <v>5.0536000000000003</v>
      </c>
    </row>
    <row r="20" spans="1:1" x14ac:dyDescent="0.25">
      <c r="A20">
        <v>5.0536000000000003</v>
      </c>
    </row>
    <row r="21" spans="1:1" x14ac:dyDescent="0.25">
      <c r="A21">
        <v>5.0536000000000003</v>
      </c>
    </row>
    <row r="22" spans="1:1" x14ac:dyDescent="0.25">
      <c r="A22">
        <v>5.0536000000000003</v>
      </c>
    </row>
    <row r="23" spans="1:1" x14ac:dyDescent="0.25">
      <c r="A23">
        <v>5.0536000000000003</v>
      </c>
    </row>
    <row r="24" spans="1:1" x14ac:dyDescent="0.25">
      <c r="A24">
        <v>5.0536000000000003</v>
      </c>
    </row>
    <row r="25" spans="1:1" x14ac:dyDescent="0.25">
      <c r="A25">
        <v>5.0536000000000003</v>
      </c>
    </row>
    <row r="26" spans="1:1" x14ac:dyDescent="0.25">
      <c r="A26">
        <v>6.4607000000000001</v>
      </c>
    </row>
    <row r="27" spans="1:1" x14ac:dyDescent="0.25">
      <c r="A27">
        <v>6.4607000000000001</v>
      </c>
    </row>
    <row r="28" spans="1:1" x14ac:dyDescent="0.25">
      <c r="A28">
        <v>6.4607000000000001</v>
      </c>
    </row>
    <row r="29" spans="1:1" x14ac:dyDescent="0.25">
      <c r="A29">
        <v>6.4607000000000001</v>
      </c>
    </row>
    <row r="30" spans="1:1" x14ac:dyDescent="0.25">
      <c r="A30">
        <v>6.4607000000000001</v>
      </c>
    </row>
    <row r="31" spans="1:1" x14ac:dyDescent="0.25">
      <c r="A31">
        <v>6.4607000000000001</v>
      </c>
    </row>
    <row r="32" spans="1:1" x14ac:dyDescent="0.25">
      <c r="A32">
        <v>6.4607000000000001</v>
      </c>
    </row>
    <row r="33" spans="1:1" x14ac:dyDescent="0.25">
      <c r="A33">
        <v>6.4607000000000001</v>
      </c>
    </row>
    <row r="34" spans="1:1" x14ac:dyDescent="0.25">
      <c r="A34">
        <v>6.4607000000000001</v>
      </c>
    </row>
    <row r="35" spans="1:1" x14ac:dyDescent="0.25">
      <c r="A35">
        <v>6.4607000000000001</v>
      </c>
    </row>
    <row r="36" spans="1:1" x14ac:dyDescent="0.25">
      <c r="A36">
        <v>6.4607000000000001</v>
      </c>
    </row>
    <row r="37" spans="1:1" x14ac:dyDescent="0.25">
      <c r="A37">
        <v>6.4607000000000001</v>
      </c>
    </row>
    <row r="38" spans="1:1" x14ac:dyDescent="0.25">
      <c r="A38">
        <v>2.3100999999999998</v>
      </c>
    </row>
    <row r="39" spans="1:1" x14ac:dyDescent="0.25">
      <c r="A39">
        <v>2.3100999999999998</v>
      </c>
    </row>
    <row r="40" spans="1:1" x14ac:dyDescent="0.25">
      <c r="A40">
        <v>2.3100999999999998</v>
      </c>
    </row>
    <row r="41" spans="1:1" x14ac:dyDescent="0.25">
      <c r="A41">
        <v>2.3100999999999998</v>
      </c>
    </row>
    <row r="42" spans="1:1" x14ac:dyDescent="0.25">
      <c r="A42">
        <v>2.3100999999999998</v>
      </c>
    </row>
    <row r="43" spans="1:1" x14ac:dyDescent="0.25">
      <c r="A43">
        <v>2.3100999999999998</v>
      </c>
    </row>
    <row r="44" spans="1:1" x14ac:dyDescent="0.25">
      <c r="A44">
        <v>2.3100999999999998</v>
      </c>
    </row>
    <row r="45" spans="1:1" x14ac:dyDescent="0.25">
      <c r="A45">
        <v>2.3100999999999998</v>
      </c>
    </row>
    <row r="46" spans="1:1" x14ac:dyDescent="0.25">
      <c r="A46">
        <v>2.3100999999999998</v>
      </c>
    </row>
    <row r="47" spans="1:1" x14ac:dyDescent="0.25">
      <c r="A47">
        <v>2.3100999999999998</v>
      </c>
    </row>
    <row r="48" spans="1:1" x14ac:dyDescent="0.25">
      <c r="A48">
        <v>2.3100999999999998</v>
      </c>
    </row>
    <row r="49" spans="1:1" x14ac:dyDescent="0.25">
      <c r="A49">
        <v>2.3100999999999998</v>
      </c>
    </row>
    <row r="50" spans="1:1" x14ac:dyDescent="0.25">
      <c r="A50">
        <v>-0.2205</v>
      </c>
    </row>
    <row r="51" spans="1:1" x14ac:dyDescent="0.25">
      <c r="A51">
        <v>-0.2205</v>
      </c>
    </row>
    <row r="52" spans="1:1" x14ac:dyDescent="0.25">
      <c r="A52">
        <v>-0.2205</v>
      </c>
    </row>
    <row r="53" spans="1:1" x14ac:dyDescent="0.25">
      <c r="A53">
        <v>-0.2205</v>
      </c>
    </row>
    <row r="54" spans="1:1" x14ac:dyDescent="0.25">
      <c r="A54">
        <v>-0.2205</v>
      </c>
    </row>
    <row r="55" spans="1:1" x14ac:dyDescent="0.25">
      <c r="A55">
        <v>-0.2205</v>
      </c>
    </row>
    <row r="56" spans="1:1" x14ac:dyDescent="0.25">
      <c r="A56">
        <v>-0.2205</v>
      </c>
    </row>
    <row r="57" spans="1:1" x14ac:dyDescent="0.25">
      <c r="A57">
        <v>-0.2205</v>
      </c>
    </row>
    <row r="58" spans="1:1" x14ac:dyDescent="0.25">
      <c r="A58">
        <v>-0.2205</v>
      </c>
    </row>
    <row r="59" spans="1:1" x14ac:dyDescent="0.25">
      <c r="A59">
        <v>-0.2205</v>
      </c>
    </row>
    <row r="60" spans="1:1" x14ac:dyDescent="0.25">
      <c r="A60">
        <v>-0.2205</v>
      </c>
    </row>
    <row r="61" spans="1:1" x14ac:dyDescent="0.25">
      <c r="A61">
        <v>-0.2205</v>
      </c>
    </row>
    <row r="62" spans="1:1" x14ac:dyDescent="0.25">
      <c r="A62">
        <v>-4.6245000000000003</v>
      </c>
    </row>
    <row r="63" spans="1:1" x14ac:dyDescent="0.25">
      <c r="A63">
        <v>-4.6245000000000003</v>
      </c>
    </row>
    <row r="64" spans="1:1" x14ac:dyDescent="0.25">
      <c r="A64">
        <v>-4.6245000000000003</v>
      </c>
    </row>
    <row r="65" spans="1:1" x14ac:dyDescent="0.25">
      <c r="A65">
        <v>-4.6245000000000003</v>
      </c>
    </row>
    <row r="66" spans="1:1" x14ac:dyDescent="0.25">
      <c r="A66">
        <v>-4.6245000000000003</v>
      </c>
    </row>
    <row r="67" spans="1:1" x14ac:dyDescent="0.25">
      <c r="A67">
        <v>-4.6245000000000003</v>
      </c>
    </row>
    <row r="68" spans="1:1" x14ac:dyDescent="0.25">
      <c r="A68">
        <v>-4.6245000000000003</v>
      </c>
    </row>
    <row r="69" spans="1:1" x14ac:dyDescent="0.25">
      <c r="A69">
        <v>-4.6245000000000003</v>
      </c>
    </row>
    <row r="70" spans="1:1" x14ac:dyDescent="0.25">
      <c r="A70">
        <v>-4.6245000000000003</v>
      </c>
    </row>
    <row r="71" spans="1:1" x14ac:dyDescent="0.25">
      <c r="A71">
        <v>-4.6245000000000003</v>
      </c>
    </row>
    <row r="72" spans="1:1" x14ac:dyDescent="0.25">
      <c r="A72">
        <v>-4.6245000000000003</v>
      </c>
    </row>
    <row r="73" spans="1:1" x14ac:dyDescent="0.25">
      <c r="A73">
        <v>-4.6245000000000003</v>
      </c>
    </row>
    <row r="74" spans="1:1" x14ac:dyDescent="0.25">
      <c r="A74">
        <v>4.2074999999999996</v>
      </c>
    </row>
    <row r="75" spans="1:1" x14ac:dyDescent="0.25">
      <c r="A75">
        <v>4.2074999999999996</v>
      </c>
    </row>
    <row r="76" spans="1:1" x14ac:dyDescent="0.25">
      <c r="A76">
        <v>4.2074999999999996</v>
      </c>
    </row>
    <row r="77" spans="1:1" x14ac:dyDescent="0.25">
      <c r="A77">
        <v>4.2074999999999996</v>
      </c>
    </row>
    <row r="78" spans="1:1" x14ac:dyDescent="0.25">
      <c r="A78">
        <v>4.2074999999999996</v>
      </c>
    </row>
    <row r="79" spans="1:1" x14ac:dyDescent="0.25">
      <c r="A79">
        <v>4.2074999999999996</v>
      </c>
    </row>
    <row r="80" spans="1:1" x14ac:dyDescent="0.25">
      <c r="A80">
        <v>4.2074999999999996</v>
      </c>
    </row>
    <row r="81" spans="1:1" x14ac:dyDescent="0.25">
      <c r="A81">
        <v>4.2074999999999996</v>
      </c>
    </row>
    <row r="82" spans="1:1" x14ac:dyDescent="0.25">
      <c r="A82">
        <v>4.2074999999999996</v>
      </c>
    </row>
    <row r="83" spans="1:1" x14ac:dyDescent="0.25">
      <c r="A83">
        <v>4.2074999999999996</v>
      </c>
    </row>
    <row r="84" spans="1:1" x14ac:dyDescent="0.25">
      <c r="A84">
        <v>4.2074999999999996</v>
      </c>
    </row>
    <row r="85" spans="1:1" x14ac:dyDescent="0.25">
      <c r="A85">
        <v>4.2074999999999996</v>
      </c>
    </row>
    <row r="86" spans="1:1" x14ac:dyDescent="0.25">
      <c r="A86">
        <v>-7.3468</v>
      </c>
    </row>
    <row r="87" spans="1:1" x14ac:dyDescent="0.25">
      <c r="A87">
        <v>-7.3468</v>
      </c>
    </row>
    <row r="88" spans="1:1" x14ac:dyDescent="0.25">
      <c r="A88">
        <v>-7.3468</v>
      </c>
    </row>
    <row r="89" spans="1:1" x14ac:dyDescent="0.25">
      <c r="A89">
        <v>-7.3468</v>
      </c>
    </row>
    <row r="90" spans="1:1" x14ac:dyDescent="0.25">
      <c r="A90">
        <v>-7.3468</v>
      </c>
    </row>
    <row r="91" spans="1:1" x14ac:dyDescent="0.25">
      <c r="A91">
        <v>-7.3468</v>
      </c>
    </row>
    <row r="92" spans="1:1" x14ac:dyDescent="0.25">
      <c r="A92">
        <v>-7.3468</v>
      </c>
    </row>
    <row r="93" spans="1:1" x14ac:dyDescent="0.25">
      <c r="A93">
        <v>-7.3468</v>
      </c>
    </row>
    <row r="94" spans="1:1" x14ac:dyDescent="0.25">
      <c r="A94">
        <v>-7.3468</v>
      </c>
    </row>
    <row r="95" spans="1:1" x14ac:dyDescent="0.25">
      <c r="A95">
        <v>-7.3468</v>
      </c>
    </row>
    <row r="96" spans="1:1" x14ac:dyDescent="0.25">
      <c r="A96">
        <v>-7.3468</v>
      </c>
    </row>
    <row r="97" spans="1:1" x14ac:dyDescent="0.25">
      <c r="A97">
        <v>-7.3468</v>
      </c>
    </row>
    <row r="98" spans="1:1" x14ac:dyDescent="0.25">
      <c r="A98">
        <v>-2.298</v>
      </c>
    </row>
    <row r="99" spans="1:1" x14ac:dyDescent="0.25">
      <c r="A99">
        <v>-2.298</v>
      </c>
    </row>
    <row r="100" spans="1:1" x14ac:dyDescent="0.25">
      <c r="A100">
        <v>-2.298</v>
      </c>
    </row>
    <row r="101" spans="1:1" x14ac:dyDescent="0.25">
      <c r="A101">
        <v>-2.298</v>
      </c>
    </row>
    <row r="102" spans="1:1" x14ac:dyDescent="0.25">
      <c r="A102">
        <v>-2.298</v>
      </c>
    </row>
    <row r="103" spans="1:1" x14ac:dyDescent="0.25">
      <c r="A103">
        <v>-2.298</v>
      </c>
    </row>
    <row r="104" spans="1:1" x14ac:dyDescent="0.25">
      <c r="A104">
        <v>-2.298</v>
      </c>
    </row>
    <row r="105" spans="1:1" x14ac:dyDescent="0.25">
      <c r="A105">
        <v>-2.298</v>
      </c>
    </row>
    <row r="106" spans="1:1" x14ac:dyDescent="0.25">
      <c r="A106">
        <v>-2.298</v>
      </c>
    </row>
    <row r="107" spans="1:1" x14ac:dyDescent="0.25">
      <c r="A107">
        <v>-2.298</v>
      </c>
    </row>
    <row r="108" spans="1:1" x14ac:dyDescent="0.25">
      <c r="A108">
        <v>-2.298</v>
      </c>
    </row>
    <row r="109" spans="1:1" x14ac:dyDescent="0.25">
      <c r="A109">
        <v>-2.298</v>
      </c>
    </row>
    <row r="110" spans="1:1" x14ac:dyDescent="0.25">
      <c r="A110">
        <v>5</v>
      </c>
    </row>
    <row r="111" spans="1:1" x14ac:dyDescent="0.25">
      <c r="A111">
        <v>5</v>
      </c>
    </row>
    <row r="112" spans="1:1" x14ac:dyDescent="0.25">
      <c r="A112">
        <v>5</v>
      </c>
    </row>
    <row r="113" spans="1:1" x14ac:dyDescent="0.25">
      <c r="A113">
        <v>5</v>
      </c>
    </row>
    <row r="114" spans="1:1" x14ac:dyDescent="0.25">
      <c r="A114">
        <v>5</v>
      </c>
    </row>
    <row r="115" spans="1:1" x14ac:dyDescent="0.25">
      <c r="A115">
        <v>5</v>
      </c>
    </row>
    <row r="116" spans="1:1" x14ac:dyDescent="0.25">
      <c r="A116">
        <v>5</v>
      </c>
    </row>
    <row r="117" spans="1:1" x14ac:dyDescent="0.25">
      <c r="A117">
        <v>5</v>
      </c>
    </row>
    <row r="118" spans="1:1" x14ac:dyDescent="0.25">
      <c r="A118">
        <v>5</v>
      </c>
    </row>
    <row r="119" spans="1:1" x14ac:dyDescent="0.25">
      <c r="A119">
        <v>5</v>
      </c>
    </row>
    <row r="120" spans="1:1" x14ac:dyDescent="0.25">
      <c r="A120">
        <v>5</v>
      </c>
    </row>
    <row r="121" spans="1:1" x14ac:dyDescent="0.25">
      <c r="A121">
        <v>5</v>
      </c>
    </row>
    <row r="122" spans="1:1" x14ac:dyDescent="0.25">
      <c r="A12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3FD-4A12-4639-BA0C-9BD0EFFB6398}">
  <dimension ref="A1:O618"/>
  <sheetViews>
    <sheetView topLeftCell="A2" workbookViewId="0">
      <selection activeCell="O2" sqref="O2:O121"/>
    </sheetView>
  </sheetViews>
  <sheetFormatPr defaultRowHeight="15" x14ac:dyDescent="0.25"/>
  <cols>
    <col min="1" max="1" width="25.85546875" customWidth="1"/>
    <col min="8" max="8" width="16.5703125" bestFit="1" customWidth="1"/>
    <col min="9" max="9" width="23.28515625" customWidth="1"/>
    <col min="10" max="12" width="3" bestFit="1" customWidth="1"/>
    <col min="13" max="13" width="18.42578125" customWidth="1"/>
    <col min="14" max="14" width="3" bestFit="1" customWidth="1"/>
    <col min="15" max="15" width="20.140625" customWidth="1"/>
    <col min="16" max="19" width="3" bestFit="1" customWidth="1"/>
    <col min="20" max="20" width="11.28515625" bestFit="1" customWidth="1"/>
  </cols>
  <sheetData>
    <row r="1" spans="1:15" x14ac:dyDescent="0.25">
      <c r="A1" s="11" t="s">
        <v>145</v>
      </c>
      <c r="B1" s="12" t="s">
        <v>143</v>
      </c>
      <c r="C1" s="12" t="s">
        <v>148</v>
      </c>
      <c r="D1" s="12" t="s">
        <v>147</v>
      </c>
      <c r="E1" s="12" t="s">
        <v>146</v>
      </c>
      <c r="G1" s="12" t="s">
        <v>148</v>
      </c>
      <c r="H1" s="12" t="s">
        <v>147</v>
      </c>
      <c r="I1" s="12" t="s">
        <v>149</v>
      </c>
      <c r="M1" t="s">
        <v>148</v>
      </c>
      <c r="N1" t="s">
        <v>147</v>
      </c>
      <c r="O1" t="s">
        <v>149</v>
      </c>
    </row>
    <row r="2" spans="1:15" x14ac:dyDescent="0.25">
      <c r="A2" s="13">
        <v>45652</v>
      </c>
      <c r="B2" s="12">
        <v>8.6199999999999992</v>
      </c>
      <c r="C2" s="12">
        <f>YEAR(A2)</f>
        <v>2024</v>
      </c>
      <c r="D2" s="12">
        <f>(MONTH(A2))</f>
        <v>12</v>
      </c>
      <c r="E2">
        <f>AVERAGEIFS($B:$B, $C:$C, C2, $D:$D, D2)</f>
        <v>8.6750000000000007</v>
      </c>
      <c r="G2" cm="1">
        <f t="array" ref="G2:H122">_xlfn.UNIQUE(CHOOSE({1,2}, C2:C1000, D2:D1000))</f>
        <v>2024</v>
      </c>
      <c r="H2">
        <v>12</v>
      </c>
      <c r="I2" cm="1">
        <f t="array" ref="I2">_xlfn.XLOOKUP(1, (C:C=G2)*(D:D=H2),E:E)</f>
        <v>8.6750000000000007</v>
      </c>
      <c r="M2">
        <v>2015</v>
      </c>
      <c r="N2">
        <v>12</v>
      </c>
      <c r="O2" t="s">
        <v>152</v>
      </c>
    </row>
    <row r="3" spans="1:15" x14ac:dyDescent="0.25">
      <c r="A3" s="13">
        <v>45645</v>
      </c>
      <c r="B3" s="12">
        <v>8.66</v>
      </c>
      <c r="C3" s="12">
        <f t="shared" ref="C3:C66" si="0">YEAR(A3)</f>
        <v>2024</v>
      </c>
      <c r="D3" s="12">
        <f t="shared" ref="D3:D66" si="1">(MONTH(A3))</f>
        <v>12</v>
      </c>
      <c r="E3">
        <f t="shared" ref="E3:E66" si="2">AVERAGEIFS($B:$B, $C:$C, C3, $D:$D, D3)</f>
        <v>8.6750000000000007</v>
      </c>
      <c r="G3">
        <v>2024</v>
      </c>
      <c r="H3">
        <v>11</v>
      </c>
      <c r="I3" cm="1">
        <f t="array" ref="I3">_xlfn.XLOOKUP(1, (C:C=G3)*(D:D=H3),E:E)</f>
        <v>9.1266666666666669</v>
      </c>
      <c r="M3">
        <v>2015</v>
      </c>
      <c r="N3">
        <v>11</v>
      </c>
      <c r="O3">
        <v>6.44</v>
      </c>
    </row>
    <row r="4" spans="1:15" x14ac:dyDescent="0.25">
      <c r="A4" s="13">
        <v>45638</v>
      </c>
      <c r="B4" s="12">
        <v>8.69</v>
      </c>
      <c r="C4" s="12">
        <f t="shared" si="0"/>
        <v>2024</v>
      </c>
      <c r="D4" s="12">
        <f t="shared" si="1"/>
        <v>12</v>
      </c>
      <c r="E4">
        <f t="shared" si="2"/>
        <v>8.6750000000000007</v>
      </c>
      <c r="G4">
        <v>2024</v>
      </c>
      <c r="H4">
        <v>10</v>
      </c>
      <c r="I4" cm="1">
        <f t="array" ref="I4">_xlfn.XLOOKUP(1, (C:C=G4)*(D:D=H4),E:E)</f>
        <v>9.548</v>
      </c>
      <c r="M4">
        <v>2015</v>
      </c>
      <c r="N4">
        <v>10</v>
      </c>
      <c r="O4">
        <v>6.7219999999999995</v>
      </c>
    </row>
    <row r="5" spans="1:15" x14ac:dyDescent="0.25">
      <c r="A5" s="13">
        <v>45631</v>
      </c>
      <c r="B5" s="12">
        <v>8.73</v>
      </c>
      <c r="C5" s="12">
        <f t="shared" si="0"/>
        <v>2024</v>
      </c>
      <c r="D5" s="12">
        <f t="shared" si="1"/>
        <v>12</v>
      </c>
      <c r="E5">
        <f t="shared" si="2"/>
        <v>8.6750000000000007</v>
      </c>
      <c r="G5">
        <v>2024</v>
      </c>
      <c r="H5">
        <v>9</v>
      </c>
      <c r="I5" cm="1">
        <f t="array" ref="I5">_xlfn.XLOOKUP(1, (C:C=G5)*(D:D=H5),E:E)</f>
        <v>10.323333333333332</v>
      </c>
      <c r="M5">
        <v>2015</v>
      </c>
      <c r="N5">
        <v>9</v>
      </c>
      <c r="O5">
        <v>6.7866666666666662</v>
      </c>
    </row>
    <row r="6" spans="1:15" x14ac:dyDescent="0.25">
      <c r="A6" s="13">
        <v>45624</v>
      </c>
      <c r="B6" s="12">
        <v>8.73</v>
      </c>
      <c r="C6" s="12">
        <f t="shared" si="0"/>
        <v>2024</v>
      </c>
      <c r="D6" s="12">
        <f t="shared" si="1"/>
        <v>11</v>
      </c>
      <c r="E6">
        <f t="shared" si="2"/>
        <v>9.1266666666666669</v>
      </c>
      <c r="G6">
        <v>2024</v>
      </c>
      <c r="H6">
        <v>8</v>
      </c>
      <c r="I6" cm="1">
        <f t="array" ref="I6">_xlfn.XLOOKUP(1, (C:C=G6)*(D:D=H6),E:E)</f>
        <v>9.3320000000000007</v>
      </c>
      <c r="M6">
        <v>2015</v>
      </c>
      <c r="N6">
        <v>8</v>
      </c>
      <c r="O6">
        <v>6.4450000000000003</v>
      </c>
    </row>
    <row r="7" spans="1:15" x14ac:dyDescent="0.25">
      <c r="A7" s="13">
        <v>45617</v>
      </c>
      <c r="B7" s="12">
        <v>9.3000000000000007</v>
      </c>
      <c r="C7" s="12">
        <f t="shared" si="0"/>
        <v>2024</v>
      </c>
      <c r="D7" s="12">
        <f t="shared" si="1"/>
        <v>11</v>
      </c>
      <c r="E7">
        <f t="shared" si="2"/>
        <v>9.1266666666666669</v>
      </c>
      <c r="G7">
        <v>2024</v>
      </c>
      <c r="H7">
        <v>7</v>
      </c>
      <c r="I7" cm="1">
        <f t="array" ref="I7">_xlfn.XLOOKUP(1, (C:C=G7)*(D:D=H7),E:E)</f>
        <v>9.8433333333333337</v>
      </c>
      <c r="M7">
        <v>2015</v>
      </c>
      <c r="N7">
        <v>7</v>
      </c>
      <c r="O7">
        <v>6.2</v>
      </c>
    </row>
    <row r="8" spans="1:15" x14ac:dyDescent="0.25">
      <c r="A8" s="13">
        <v>45609</v>
      </c>
      <c r="B8" s="12">
        <v>9.35</v>
      </c>
      <c r="C8" s="12">
        <f t="shared" si="0"/>
        <v>2024</v>
      </c>
      <c r="D8" s="12">
        <f t="shared" si="1"/>
        <v>11</v>
      </c>
      <c r="E8">
        <f t="shared" si="2"/>
        <v>9.1266666666666669</v>
      </c>
      <c r="G8">
        <v>2024</v>
      </c>
      <c r="H8">
        <v>6</v>
      </c>
      <c r="I8" cm="1">
        <f t="array" ref="I8">_xlfn.XLOOKUP(1, (C:C=G8)*(D:D=H8),E:E)</f>
        <v>9.4500000000000011</v>
      </c>
      <c r="M8">
        <v>2015</v>
      </c>
      <c r="N8">
        <v>6</v>
      </c>
      <c r="O8">
        <v>6.0775000000000006</v>
      </c>
    </row>
    <row r="9" spans="1:15" x14ac:dyDescent="0.25">
      <c r="A9" s="13">
        <v>45595</v>
      </c>
      <c r="B9" s="12">
        <v>9.35</v>
      </c>
      <c r="C9" s="12">
        <f t="shared" si="0"/>
        <v>2024</v>
      </c>
      <c r="D9" s="12">
        <f t="shared" si="1"/>
        <v>10</v>
      </c>
      <c r="E9">
        <f t="shared" si="2"/>
        <v>9.548</v>
      </c>
      <c r="G9">
        <v>2024</v>
      </c>
      <c r="H9">
        <v>5</v>
      </c>
      <c r="I9" cm="1">
        <f t="array" ref="I9">_xlfn.XLOOKUP(1, (C:C=G9)*(D:D=H9),E:E)</f>
        <v>9.0919999999999987</v>
      </c>
      <c r="M9">
        <v>2015</v>
      </c>
      <c r="N9">
        <v>5</v>
      </c>
      <c r="O9">
        <v>6.104000000000001</v>
      </c>
    </row>
    <row r="10" spans="1:15" x14ac:dyDescent="0.25">
      <c r="A10" s="13">
        <v>45589</v>
      </c>
      <c r="B10" s="12">
        <v>9.32</v>
      </c>
      <c r="C10" s="12">
        <f t="shared" si="0"/>
        <v>2024</v>
      </c>
      <c r="D10" s="12">
        <f t="shared" si="1"/>
        <v>10</v>
      </c>
      <c r="E10">
        <f t="shared" si="2"/>
        <v>9.548</v>
      </c>
      <c r="G10">
        <v>2024</v>
      </c>
      <c r="H10">
        <v>4</v>
      </c>
      <c r="I10" cm="1">
        <f t="array" ref="I10">_xlfn.XLOOKUP(1, (C:C=G10)*(D:D=H10),E:E)</f>
        <v>10.035</v>
      </c>
      <c r="M10">
        <v>2015</v>
      </c>
      <c r="N10">
        <v>4</v>
      </c>
      <c r="O10">
        <v>6.39</v>
      </c>
    </row>
    <row r="11" spans="1:15" x14ac:dyDescent="0.25">
      <c r="A11" s="13">
        <v>45581</v>
      </c>
      <c r="B11" s="12">
        <v>9.32</v>
      </c>
      <c r="C11" s="12">
        <f t="shared" si="0"/>
        <v>2024</v>
      </c>
      <c r="D11" s="12">
        <f t="shared" si="1"/>
        <v>10</v>
      </c>
      <c r="E11">
        <f t="shared" si="2"/>
        <v>9.548</v>
      </c>
      <c r="G11">
        <v>2024</v>
      </c>
      <c r="H11">
        <v>3</v>
      </c>
      <c r="I11" cm="1">
        <f t="array" ref="I11">_xlfn.XLOOKUP(1, (C:C=G11)*(D:D=H11),E:E)</f>
        <v>10.09</v>
      </c>
      <c r="M11">
        <v>2015</v>
      </c>
      <c r="N11">
        <v>3</v>
      </c>
      <c r="O11">
        <v>6.8450000000000006</v>
      </c>
    </row>
    <row r="12" spans="1:15" x14ac:dyDescent="0.25">
      <c r="A12" s="13">
        <v>45575</v>
      </c>
      <c r="B12" s="12">
        <v>9.69</v>
      </c>
      <c r="C12" s="12">
        <f t="shared" si="0"/>
        <v>2024</v>
      </c>
      <c r="D12" s="12">
        <f t="shared" si="1"/>
        <v>10</v>
      </c>
      <c r="E12">
        <f t="shared" si="2"/>
        <v>9.548</v>
      </c>
      <c r="G12">
        <v>2024</v>
      </c>
      <c r="H12">
        <v>2</v>
      </c>
      <c r="I12" cm="1">
        <f t="array" ref="I12">_xlfn.XLOOKUP(1, (C:C=G12)*(D:D=H12),E:E)</f>
        <v>10.474</v>
      </c>
      <c r="M12">
        <v>2015</v>
      </c>
      <c r="N12">
        <v>2</v>
      </c>
      <c r="O12">
        <v>5.9050000000000002</v>
      </c>
    </row>
    <row r="13" spans="1:15" x14ac:dyDescent="0.25">
      <c r="A13" s="13">
        <v>45568</v>
      </c>
      <c r="B13" s="12">
        <v>10.06</v>
      </c>
      <c r="C13" s="12">
        <f t="shared" si="0"/>
        <v>2024</v>
      </c>
      <c r="D13" s="12">
        <f t="shared" si="1"/>
        <v>10</v>
      </c>
      <c r="E13">
        <f t="shared" si="2"/>
        <v>9.548</v>
      </c>
      <c r="G13">
        <v>2024</v>
      </c>
      <c r="H13">
        <v>1</v>
      </c>
      <c r="I13" cm="1">
        <f t="array" ref="I13">_xlfn.XLOOKUP(1, (C:C=G13)*(D:D=H13),E:E)</f>
        <v>13.995000000000001</v>
      </c>
      <c r="M13">
        <v>2015</v>
      </c>
      <c r="N13">
        <v>1</v>
      </c>
      <c r="O13">
        <v>5.7780000000000005</v>
      </c>
    </row>
    <row r="14" spans="1:15" x14ac:dyDescent="0.25">
      <c r="A14" s="13">
        <v>45561</v>
      </c>
      <c r="B14" s="12">
        <v>10.49</v>
      </c>
      <c r="C14" s="12">
        <f t="shared" si="0"/>
        <v>2024</v>
      </c>
      <c r="D14" s="12">
        <f t="shared" si="1"/>
        <v>9</v>
      </c>
      <c r="E14">
        <f t="shared" si="2"/>
        <v>10.323333333333332</v>
      </c>
      <c r="G14">
        <v>2023</v>
      </c>
      <c r="H14">
        <v>12</v>
      </c>
      <c r="I14" cm="1">
        <f t="array" ref="I14">_xlfn.XLOOKUP(1, (C:C=G14)*(D:D=H14),E:E)</f>
        <v>14.585000000000001</v>
      </c>
      <c r="M14">
        <v>2016</v>
      </c>
      <c r="N14">
        <v>12</v>
      </c>
      <c r="O14">
        <v>8.6425000000000001</v>
      </c>
    </row>
    <row r="15" spans="1:15" x14ac:dyDescent="0.25">
      <c r="A15" s="13">
        <v>45554</v>
      </c>
      <c r="B15" s="12">
        <v>10.49</v>
      </c>
      <c r="C15" s="12">
        <f t="shared" si="0"/>
        <v>2024</v>
      </c>
      <c r="D15" s="12">
        <f t="shared" si="1"/>
        <v>9</v>
      </c>
      <c r="E15">
        <f t="shared" si="2"/>
        <v>10.323333333333332</v>
      </c>
      <c r="G15">
        <v>2023</v>
      </c>
      <c r="H15">
        <v>11</v>
      </c>
      <c r="I15" cm="1">
        <f t="array" ref="I15">_xlfn.XLOOKUP(1, (C:C=G15)*(D:D=H15),E:E)</f>
        <v>15.422000000000001</v>
      </c>
      <c r="M15">
        <v>2016</v>
      </c>
      <c r="N15">
        <v>11</v>
      </c>
      <c r="O15">
        <v>8.6</v>
      </c>
    </row>
    <row r="16" spans="1:15" x14ac:dyDescent="0.25">
      <c r="A16" s="13">
        <v>45547</v>
      </c>
      <c r="B16" s="12">
        <v>9.99</v>
      </c>
      <c r="C16" s="12">
        <f t="shared" si="0"/>
        <v>2024</v>
      </c>
      <c r="D16" s="12">
        <f t="shared" si="1"/>
        <v>9</v>
      </c>
      <c r="E16">
        <f t="shared" si="2"/>
        <v>10.323333333333332</v>
      </c>
      <c r="G16">
        <v>2023</v>
      </c>
      <c r="H16">
        <v>10</v>
      </c>
      <c r="I16" cm="1">
        <f t="array" ref="I16">_xlfn.XLOOKUP(1, (C:C=G16)*(D:D=H16),E:E)</f>
        <v>16.565000000000001</v>
      </c>
      <c r="M16">
        <v>2016</v>
      </c>
      <c r="N16">
        <v>10</v>
      </c>
      <c r="O16">
        <v>8.5749999999999993</v>
      </c>
    </row>
    <row r="17" spans="1:15" x14ac:dyDescent="0.25">
      <c r="A17" s="13">
        <v>45533</v>
      </c>
      <c r="B17" s="12">
        <v>9.49</v>
      </c>
      <c r="C17" s="12">
        <f t="shared" si="0"/>
        <v>2024</v>
      </c>
      <c r="D17" s="12">
        <f t="shared" si="1"/>
        <v>8</v>
      </c>
      <c r="E17">
        <f t="shared" si="2"/>
        <v>9.3320000000000007</v>
      </c>
      <c r="G17">
        <v>2023</v>
      </c>
      <c r="H17">
        <v>9</v>
      </c>
      <c r="I17" cm="1">
        <f t="array" ref="I17">_xlfn.XLOOKUP(1, (C:C=G17)*(D:D=H17),E:E)</f>
        <v>18.04</v>
      </c>
      <c r="M17">
        <v>2016</v>
      </c>
      <c r="N17">
        <v>9</v>
      </c>
      <c r="O17">
        <v>8.76</v>
      </c>
    </row>
    <row r="18" spans="1:15" x14ac:dyDescent="0.25">
      <c r="A18" s="13">
        <v>45526</v>
      </c>
      <c r="B18" s="12">
        <v>9.42</v>
      </c>
      <c r="C18" s="12">
        <f t="shared" si="0"/>
        <v>2024</v>
      </c>
      <c r="D18" s="12">
        <f t="shared" si="1"/>
        <v>8</v>
      </c>
      <c r="E18">
        <f t="shared" si="2"/>
        <v>9.3320000000000007</v>
      </c>
      <c r="G18">
        <v>2023</v>
      </c>
      <c r="H18">
        <v>8</v>
      </c>
      <c r="I18" cm="1">
        <f t="array" ref="I18">_xlfn.XLOOKUP(1, (C:C=G18)*(D:D=H18),E:E)</f>
        <v>18.736000000000001</v>
      </c>
      <c r="M18">
        <v>2016</v>
      </c>
      <c r="N18">
        <v>8</v>
      </c>
      <c r="O18">
        <v>9.0124999999999993</v>
      </c>
    </row>
    <row r="19" spans="1:15" x14ac:dyDescent="0.25">
      <c r="A19" s="13">
        <v>45519</v>
      </c>
      <c r="B19" s="12">
        <v>9.39</v>
      </c>
      <c r="C19" s="12">
        <f t="shared" si="0"/>
        <v>2024</v>
      </c>
      <c r="D19" s="12">
        <f t="shared" si="1"/>
        <v>8</v>
      </c>
      <c r="E19">
        <f t="shared" si="2"/>
        <v>9.3320000000000007</v>
      </c>
      <c r="G19">
        <v>2023</v>
      </c>
      <c r="H19">
        <v>7</v>
      </c>
      <c r="I19" cm="1">
        <f t="array" ref="I19">_xlfn.XLOOKUP(1, (C:C=G19)*(D:D=H19),E:E)</f>
        <v>19.204999999999998</v>
      </c>
      <c r="M19">
        <v>2016</v>
      </c>
      <c r="N19">
        <v>7</v>
      </c>
      <c r="O19">
        <v>8.8500000000000014</v>
      </c>
    </row>
    <row r="20" spans="1:15" x14ac:dyDescent="0.25">
      <c r="A20" s="13">
        <v>45512</v>
      </c>
      <c r="B20" s="12">
        <v>9.2200000000000006</v>
      </c>
      <c r="C20" s="12">
        <f t="shared" si="0"/>
        <v>2024</v>
      </c>
      <c r="D20" s="12">
        <f t="shared" si="1"/>
        <v>8</v>
      </c>
      <c r="E20">
        <f t="shared" si="2"/>
        <v>9.3320000000000007</v>
      </c>
      <c r="G20">
        <v>2023</v>
      </c>
      <c r="H20">
        <v>6</v>
      </c>
      <c r="I20" cm="1">
        <f t="array" ref="I20">_xlfn.XLOOKUP(1, (C:C=G20)*(D:D=H20),E:E)</f>
        <v>23.604000000000003</v>
      </c>
      <c r="M20">
        <v>2016</v>
      </c>
      <c r="N20">
        <v>6</v>
      </c>
      <c r="O20">
        <v>8.84</v>
      </c>
    </row>
    <row r="21" spans="1:15" x14ac:dyDescent="0.25">
      <c r="A21" s="13">
        <v>45505</v>
      </c>
      <c r="B21" s="12">
        <v>9.14</v>
      </c>
      <c r="C21" s="12">
        <f t="shared" si="0"/>
        <v>2024</v>
      </c>
      <c r="D21" s="12">
        <f t="shared" si="1"/>
        <v>8</v>
      </c>
      <c r="E21">
        <f t="shared" si="2"/>
        <v>9.3320000000000007</v>
      </c>
      <c r="G21">
        <v>2023</v>
      </c>
      <c r="H21">
        <v>5</v>
      </c>
      <c r="I21" cm="1">
        <f t="array" ref="I21">_xlfn.XLOOKUP(1, (C:C=G21)*(D:D=H21),E:E)</f>
        <v>25.6875</v>
      </c>
      <c r="M21">
        <v>2016</v>
      </c>
      <c r="N21">
        <v>5</v>
      </c>
      <c r="O21">
        <v>8.6300000000000008</v>
      </c>
    </row>
    <row r="22" spans="1:15" x14ac:dyDescent="0.25">
      <c r="A22" s="13">
        <v>45491</v>
      </c>
      <c r="B22" s="12">
        <v>9.5500000000000007</v>
      </c>
      <c r="C22" s="12">
        <f t="shared" si="0"/>
        <v>2024</v>
      </c>
      <c r="D22" s="12">
        <f t="shared" si="1"/>
        <v>7</v>
      </c>
      <c r="E22">
        <f t="shared" si="2"/>
        <v>9.8433333333333337</v>
      </c>
      <c r="G22">
        <v>2023</v>
      </c>
      <c r="H22">
        <v>4</v>
      </c>
      <c r="I22" cm="1">
        <f t="array" ref="I22">_xlfn.XLOOKUP(1, (C:C=G22)*(D:D=H22),E:E)</f>
        <v>25.077500000000001</v>
      </c>
      <c r="M22">
        <v>2016</v>
      </c>
      <c r="N22">
        <v>4</v>
      </c>
      <c r="O22">
        <v>8.5440000000000005</v>
      </c>
    </row>
    <row r="23" spans="1:15" x14ac:dyDescent="0.25">
      <c r="A23" s="13">
        <v>45484</v>
      </c>
      <c r="B23" s="12">
        <v>9.91</v>
      </c>
      <c r="C23" s="12">
        <f t="shared" si="0"/>
        <v>2024</v>
      </c>
      <c r="D23" s="12">
        <f t="shared" si="1"/>
        <v>7</v>
      </c>
      <c r="E23">
        <f t="shared" si="2"/>
        <v>9.8433333333333337</v>
      </c>
      <c r="G23">
        <v>2023</v>
      </c>
      <c r="H23">
        <v>3</v>
      </c>
      <c r="I23" cm="1">
        <f t="array" ref="I23">_xlfn.XLOOKUP(1, (C:C=G23)*(D:D=H23),E:E)</f>
        <v>27.7</v>
      </c>
      <c r="M23">
        <v>2016</v>
      </c>
      <c r="N23">
        <v>3</v>
      </c>
      <c r="O23">
        <v>7.99</v>
      </c>
    </row>
    <row r="24" spans="1:15" x14ac:dyDescent="0.25">
      <c r="A24" s="13">
        <v>45477</v>
      </c>
      <c r="B24" s="12">
        <v>10.07</v>
      </c>
      <c r="C24" s="12">
        <f t="shared" si="0"/>
        <v>2024</v>
      </c>
      <c r="D24" s="12">
        <f t="shared" si="1"/>
        <v>7</v>
      </c>
      <c r="E24">
        <f t="shared" si="2"/>
        <v>9.8433333333333337</v>
      </c>
      <c r="G24">
        <v>2023</v>
      </c>
      <c r="H24">
        <v>2</v>
      </c>
      <c r="I24" cm="1">
        <f t="array" ref="I24">_xlfn.XLOOKUP(1, (C:C=G24)*(D:D=H24),E:E)</f>
        <v>29.834999999999997</v>
      </c>
      <c r="M24">
        <v>2016</v>
      </c>
      <c r="N24">
        <v>2</v>
      </c>
      <c r="O24">
        <v>7.0749999999999993</v>
      </c>
    </row>
    <row r="25" spans="1:15" x14ac:dyDescent="0.25">
      <c r="A25" s="13">
        <v>45470</v>
      </c>
      <c r="B25" s="12">
        <v>10.07</v>
      </c>
      <c r="C25" s="12">
        <f t="shared" si="0"/>
        <v>2024</v>
      </c>
      <c r="D25" s="12">
        <f t="shared" si="1"/>
        <v>6</v>
      </c>
      <c r="E25">
        <f t="shared" si="2"/>
        <v>9.4500000000000011</v>
      </c>
      <c r="G25">
        <v>2023</v>
      </c>
      <c r="H25">
        <v>1</v>
      </c>
      <c r="I25" cm="1">
        <f t="array" ref="I25">_xlfn.XLOOKUP(1, (C:C=G25)*(D:D=H25),E:E)</f>
        <v>30.787499999999994</v>
      </c>
      <c r="M25">
        <v>2016</v>
      </c>
      <c r="N25">
        <v>1</v>
      </c>
      <c r="O25">
        <v>6.6066666666666665</v>
      </c>
    </row>
    <row r="26" spans="1:15" x14ac:dyDescent="0.25">
      <c r="A26" s="13">
        <v>45462</v>
      </c>
      <c r="B26" s="12">
        <v>9.39</v>
      </c>
      <c r="C26" s="12">
        <f t="shared" si="0"/>
        <v>2024</v>
      </c>
      <c r="D26" s="12">
        <f t="shared" si="1"/>
        <v>6</v>
      </c>
      <c r="E26">
        <f t="shared" si="2"/>
        <v>9.4500000000000011</v>
      </c>
      <c r="G26">
        <v>2022</v>
      </c>
      <c r="H26">
        <v>12</v>
      </c>
      <c r="I26" cm="1">
        <f t="array" ref="I26">_xlfn.XLOOKUP(1, (C:C=G26)*(D:D=H26),E:E)</f>
        <v>32.785999999999994</v>
      </c>
      <c r="M26">
        <v>2017</v>
      </c>
      <c r="N26">
        <v>12</v>
      </c>
      <c r="O26">
        <v>7.83</v>
      </c>
    </row>
    <row r="27" spans="1:15" x14ac:dyDescent="0.25">
      <c r="A27" s="13">
        <v>45456</v>
      </c>
      <c r="B27" s="12">
        <v>8.89</v>
      </c>
      <c r="C27" s="12">
        <f t="shared" si="0"/>
        <v>2024</v>
      </c>
      <c r="D27" s="12">
        <f t="shared" si="1"/>
        <v>6</v>
      </c>
      <c r="E27">
        <f t="shared" si="2"/>
        <v>9.4500000000000011</v>
      </c>
      <c r="G27">
        <v>2022</v>
      </c>
      <c r="H27">
        <v>11</v>
      </c>
      <c r="I27" cm="1">
        <f t="array" ref="I27">_xlfn.XLOOKUP(1, (C:C=G27)*(D:D=H27),E:E)</f>
        <v>33.055</v>
      </c>
      <c r="M27">
        <v>2017</v>
      </c>
      <c r="N27">
        <v>11</v>
      </c>
      <c r="O27">
        <v>8.5120000000000005</v>
      </c>
    </row>
    <row r="28" spans="1:15" x14ac:dyDescent="0.25">
      <c r="A28" s="13">
        <v>45442</v>
      </c>
      <c r="B28" s="12">
        <v>8.6199999999999992</v>
      </c>
      <c r="C28" s="12">
        <f t="shared" si="0"/>
        <v>2024</v>
      </c>
      <c r="D28" s="12">
        <f t="shared" si="1"/>
        <v>5</v>
      </c>
      <c r="E28">
        <f t="shared" si="2"/>
        <v>9.0919999999999987</v>
      </c>
      <c r="G28">
        <v>2022</v>
      </c>
      <c r="H28">
        <v>10</v>
      </c>
      <c r="I28" cm="1">
        <f t="array" ref="I28">_xlfn.XLOOKUP(1, (C:C=G28)*(D:D=H28),E:E)</f>
        <v>32.872500000000002</v>
      </c>
      <c r="M28">
        <v>2017</v>
      </c>
      <c r="N28">
        <v>10</v>
      </c>
      <c r="O28">
        <v>8.7766666666666655</v>
      </c>
    </row>
    <row r="29" spans="1:15" x14ac:dyDescent="0.25">
      <c r="A29" s="13">
        <v>45433</v>
      </c>
      <c r="B29" s="12">
        <v>8.76</v>
      </c>
      <c r="C29" s="12">
        <f t="shared" si="0"/>
        <v>2024</v>
      </c>
      <c r="D29" s="12">
        <f t="shared" si="1"/>
        <v>5</v>
      </c>
      <c r="E29">
        <f t="shared" si="2"/>
        <v>9.0919999999999987</v>
      </c>
      <c r="G29">
        <v>2022</v>
      </c>
      <c r="H29">
        <v>9</v>
      </c>
      <c r="I29" cm="1">
        <f t="array" ref="I29">_xlfn.XLOOKUP(1, (C:C=G29)*(D:D=H29),E:E)</f>
        <v>32.475999999999999</v>
      </c>
      <c r="M29">
        <v>2017</v>
      </c>
      <c r="N29">
        <v>9</v>
      </c>
      <c r="O29">
        <v>8.7100000000000009</v>
      </c>
    </row>
    <row r="30" spans="1:15" x14ac:dyDescent="0.25">
      <c r="A30" s="13">
        <v>45428</v>
      </c>
      <c r="B30" s="12">
        <v>9.0399999999999991</v>
      </c>
      <c r="C30" s="12">
        <f t="shared" si="0"/>
        <v>2024</v>
      </c>
      <c r="D30" s="12">
        <f t="shared" si="1"/>
        <v>5</v>
      </c>
      <c r="E30">
        <f t="shared" si="2"/>
        <v>9.0919999999999987</v>
      </c>
      <c r="G30">
        <v>2022</v>
      </c>
      <c r="H30">
        <v>8</v>
      </c>
      <c r="I30" cm="1">
        <f t="array" ref="I30">_xlfn.XLOOKUP(1, (C:C=G30)*(D:D=H30),E:E)</f>
        <v>29.024999999999999</v>
      </c>
      <c r="M30">
        <v>2017</v>
      </c>
      <c r="N30">
        <v>8</v>
      </c>
      <c r="O30">
        <v>8.9499999999999993</v>
      </c>
    </row>
    <row r="31" spans="1:15" x14ac:dyDescent="0.25">
      <c r="A31" s="13">
        <v>45421</v>
      </c>
      <c r="B31" s="12">
        <v>9.43</v>
      </c>
      <c r="C31" s="12">
        <f t="shared" si="0"/>
        <v>2024</v>
      </c>
      <c r="D31" s="12">
        <f t="shared" si="1"/>
        <v>5</v>
      </c>
      <c r="E31">
        <f t="shared" si="2"/>
        <v>9.0919999999999987</v>
      </c>
      <c r="G31">
        <v>2022</v>
      </c>
      <c r="H31">
        <v>7</v>
      </c>
      <c r="I31" cm="1">
        <f t="array" ref="I31">_xlfn.XLOOKUP(1, (C:C=G31)*(D:D=H31),E:E)</f>
        <v>28.880000000000003</v>
      </c>
      <c r="M31">
        <v>2017</v>
      </c>
      <c r="N31">
        <v>7</v>
      </c>
      <c r="O31">
        <v>9.5500000000000007</v>
      </c>
    </row>
    <row r="32" spans="1:15" x14ac:dyDescent="0.25">
      <c r="A32" s="13">
        <v>45414</v>
      </c>
      <c r="B32" s="12">
        <v>9.61</v>
      </c>
      <c r="C32" s="12">
        <f t="shared" si="0"/>
        <v>2024</v>
      </c>
      <c r="D32" s="12">
        <f t="shared" si="1"/>
        <v>5</v>
      </c>
      <c r="E32">
        <f t="shared" si="2"/>
        <v>9.0919999999999987</v>
      </c>
      <c r="G32">
        <v>2022</v>
      </c>
      <c r="H32">
        <v>6</v>
      </c>
      <c r="I32" cm="1">
        <f t="array" ref="I32">_xlfn.XLOOKUP(1, (C:C=G32)*(D:D=H32),E:E)</f>
        <v>21.53</v>
      </c>
      <c r="M32">
        <v>2017</v>
      </c>
      <c r="N32">
        <v>6</v>
      </c>
      <c r="O32">
        <v>9.6020000000000003</v>
      </c>
    </row>
    <row r="33" spans="1:15" x14ac:dyDescent="0.25">
      <c r="A33" s="13">
        <v>45407</v>
      </c>
      <c r="B33" s="12">
        <v>9.9</v>
      </c>
      <c r="C33" s="12">
        <f t="shared" si="0"/>
        <v>2024</v>
      </c>
      <c r="D33" s="12">
        <f t="shared" si="1"/>
        <v>4</v>
      </c>
      <c r="E33">
        <f>AVERAGEIFS($B:$B, $C:$C, C33, $D:$D, D33)</f>
        <v>10.035</v>
      </c>
      <c r="G33">
        <v>2022</v>
      </c>
      <c r="H33">
        <v>5</v>
      </c>
      <c r="I33" cm="1">
        <f t="array" ref="I33">_xlfn.XLOOKUP(1, (C:C=G33)*(D:D=H33),E:E)</f>
        <v>23.817499999999999</v>
      </c>
      <c r="M33">
        <v>2017</v>
      </c>
      <c r="N33">
        <v>5</v>
      </c>
      <c r="O33">
        <v>9.6199999999999992</v>
      </c>
    </row>
    <row r="34" spans="1:15" x14ac:dyDescent="0.25">
      <c r="A34" s="13">
        <v>45400</v>
      </c>
      <c r="B34" s="12">
        <v>10.029999999999999</v>
      </c>
      <c r="C34" s="12">
        <f t="shared" si="0"/>
        <v>2024</v>
      </c>
      <c r="D34" s="12">
        <f t="shared" si="1"/>
        <v>4</v>
      </c>
      <c r="E34">
        <f t="shared" si="2"/>
        <v>10.035</v>
      </c>
      <c r="G34">
        <v>2022</v>
      </c>
      <c r="H34">
        <v>4</v>
      </c>
      <c r="I34" cm="1">
        <f t="array" ref="I34">_xlfn.XLOOKUP(1, (C:C=G34)*(D:D=H34),E:E)</f>
        <v>17.489999999999998</v>
      </c>
      <c r="M34">
        <v>2017</v>
      </c>
      <c r="N34">
        <v>4</v>
      </c>
      <c r="O34">
        <v>9.7066666666666688</v>
      </c>
    </row>
    <row r="35" spans="1:15" x14ac:dyDescent="0.25">
      <c r="A35" s="13">
        <v>45391</v>
      </c>
      <c r="B35" s="12">
        <v>10.1</v>
      </c>
      <c r="C35" s="12">
        <f t="shared" si="0"/>
        <v>2024</v>
      </c>
      <c r="D35" s="12">
        <f t="shared" si="1"/>
        <v>4</v>
      </c>
      <c r="E35">
        <f t="shared" si="2"/>
        <v>10.035</v>
      </c>
      <c r="G35">
        <v>2022</v>
      </c>
      <c r="H35">
        <v>3</v>
      </c>
      <c r="I35" cm="1">
        <f t="array" ref="I35">_xlfn.XLOOKUP(1, (C:C=G35)*(D:D=H35),E:E)</f>
        <v>10.767499999999998</v>
      </c>
      <c r="M35">
        <v>2017</v>
      </c>
      <c r="N35">
        <v>3</v>
      </c>
      <c r="O35">
        <v>9.5125000000000011</v>
      </c>
    </row>
    <row r="36" spans="1:15" x14ac:dyDescent="0.25">
      <c r="A36" s="13">
        <v>45386</v>
      </c>
      <c r="B36" s="12">
        <v>10.11</v>
      </c>
      <c r="C36" s="12">
        <f t="shared" si="0"/>
        <v>2024</v>
      </c>
      <c r="D36" s="12">
        <f t="shared" si="1"/>
        <v>4</v>
      </c>
      <c r="E36">
        <f t="shared" si="2"/>
        <v>10.035</v>
      </c>
      <c r="G36">
        <v>2022</v>
      </c>
      <c r="H36">
        <v>2</v>
      </c>
      <c r="I36" cm="1">
        <f t="array" ref="I36">_xlfn.XLOOKUP(1, (C:C=G36)*(D:D=H36),E:E)</f>
        <v>8.5549999999999997</v>
      </c>
      <c r="M36">
        <v>2017</v>
      </c>
      <c r="N36">
        <v>2</v>
      </c>
      <c r="O36">
        <v>9.1950000000000003</v>
      </c>
    </row>
    <row r="37" spans="1:15" x14ac:dyDescent="0.25">
      <c r="A37" s="13">
        <v>45378</v>
      </c>
      <c r="B37" s="12">
        <v>10.07</v>
      </c>
      <c r="C37" s="12">
        <f t="shared" si="0"/>
        <v>2024</v>
      </c>
      <c r="D37" s="12">
        <f t="shared" si="1"/>
        <v>3</v>
      </c>
      <c r="E37">
        <f t="shared" si="2"/>
        <v>10.09</v>
      </c>
      <c r="G37">
        <v>2022</v>
      </c>
      <c r="H37">
        <v>1</v>
      </c>
      <c r="I37" cm="1">
        <f t="array" ref="I37">_xlfn.XLOOKUP(1, (C:C=G37)*(D:D=H37),E:E)</f>
        <v>8.4450000000000003</v>
      </c>
      <c r="M37">
        <v>2017</v>
      </c>
      <c r="N37">
        <v>1</v>
      </c>
      <c r="O37">
        <v>8.94</v>
      </c>
    </row>
    <row r="38" spans="1:15" x14ac:dyDescent="0.25">
      <c r="A38" s="13">
        <v>45372</v>
      </c>
      <c r="B38" s="12">
        <v>10.23</v>
      </c>
      <c r="C38" s="12">
        <f t="shared" si="0"/>
        <v>2024</v>
      </c>
      <c r="D38" s="12">
        <f t="shared" si="1"/>
        <v>3</v>
      </c>
      <c r="E38">
        <f t="shared" si="2"/>
        <v>10.09</v>
      </c>
      <c r="G38">
        <v>2021</v>
      </c>
      <c r="H38">
        <v>12</v>
      </c>
      <c r="I38" cm="1">
        <f t="array" ref="I38">_xlfn.XLOOKUP(1, (C:C=G38)*(D:D=H38),E:E)</f>
        <v>7.4779999999999998</v>
      </c>
      <c r="M38">
        <v>2018</v>
      </c>
      <c r="N38">
        <v>12</v>
      </c>
      <c r="O38" t="e">
        <v>#DIV/0!</v>
      </c>
    </row>
    <row r="39" spans="1:15" x14ac:dyDescent="0.25">
      <c r="A39" s="13">
        <v>45365</v>
      </c>
      <c r="B39" s="12">
        <v>10.1</v>
      </c>
      <c r="C39" s="12">
        <f t="shared" si="0"/>
        <v>2024</v>
      </c>
      <c r="D39" s="12">
        <f t="shared" si="1"/>
        <v>3</v>
      </c>
      <c r="E39">
        <f t="shared" si="2"/>
        <v>10.09</v>
      </c>
      <c r="G39">
        <v>2021</v>
      </c>
      <c r="H39">
        <v>11</v>
      </c>
      <c r="I39" cm="1">
        <f t="array" ref="I39">_xlfn.XLOOKUP(1, (C:C=G39)*(D:D=H39),E:E)</f>
        <v>7.8650000000000002</v>
      </c>
      <c r="M39">
        <v>2018</v>
      </c>
      <c r="N39">
        <v>11</v>
      </c>
      <c r="O39">
        <v>7.4324999999999992</v>
      </c>
    </row>
    <row r="40" spans="1:15" x14ac:dyDescent="0.25">
      <c r="A40" s="13">
        <v>45357</v>
      </c>
      <c r="B40" s="12">
        <v>9.9600000000000009</v>
      </c>
      <c r="C40" s="12">
        <f t="shared" si="0"/>
        <v>2024</v>
      </c>
      <c r="D40" s="12">
        <f t="shared" si="1"/>
        <v>3</v>
      </c>
      <c r="E40">
        <f t="shared" si="2"/>
        <v>10.09</v>
      </c>
      <c r="G40">
        <v>2021</v>
      </c>
      <c r="H40">
        <v>10</v>
      </c>
      <c r="I40" cm="1">
        <f t="array" ref="I40">_xlfn.XLOOKUP(1, (C:C=G40)*(D:D=H40),E:E)</f>
        <v>7.742</v>
      </c>
      <c r="M40">
        <v>2018</v>
      </c>
      <c r="N40">
        <v>10</v>
      </c>
      <c r="O40">
        <v>6.253333333333333</v>
      </c>
    </row>
    <row r="41" spans="1:15" x14ac:dyDescent="0.25">
      <c r="A41" s="13">
        <v>45351</v>
      </c>
      <c r="B41" s="12">
        <v>9.8699999999999992</v>
      </c>
      <c r="C41" s="12">
        <f t="shared" si="0"/>
        <v>2024</v>
      </c>
      <c r="D41" s="12">
        <f t="shared" si="1"/>
        <v>2</v>
      </c>
      <c r="E41">
        <f t="shared" si="2"/>
        <v>10.474</v>
      </c>
      <c r="G41">
        <v>2021</v>
      </c>
      <c r="H41">
        <v>9</v>
      </c>
      <c r="I41" cm="1">
        <f t="array" ref="I41">_xlfn.XLOOKUP(1, (C:C=G41)*(D:D=H41),E:E)</f>
        <v>6.0975000000000001</v>
      </c>
      <c r="M41">
        <v>2018</v>
      </c>
      <c r="N41">
        <v>9</v>
      </c>
      <c r="O41">
        <v>5.5200000000000005</v>
      </c>
    </row>
    <row r="42" spans="1:15" x14ac:dyDescent="0.25">
      <c r="A42" s="13">
        <v>45344</v>
      </c>
      <c r="B42" s="12">
        <v>9.7799999999999994</v>
      </c>
      <c r="C42" s="12">
        <f t="shared" si="0"/>
        <v>2024</v>
      </c>
      <c r="D42" s="12">
        <f t="shared" si="1"/>
        <v>2</v>
      </c>
      <c r="E42">
        <f t="shared" si="2"/>
        <v>10.474</v>
      </c>
      <c r="G42">
        <v>2021</v>
      </c>
      <c r="H42">
        <v>8</v>
      </c>
      <c r="I42" cm="1">
        <f t="array" ref="I42">_xlfn.XLOOKUP(1, (C:C=G42)*(D:D=H42),E:E)</f>
        <v>5.4275000000000002</v>
      </c>
      <c r="M42">
        <v>2018</v>
      </c>
      <c r="N42">
        <v>8</v>
      </c>
      <c r="O42">
        <v>8.11</v>
      </c>
    </row>
    <row r="43" spans="1:15" x14ac:dyDescent="0.25">
      <c r="A43" s="13">
        <v>45337</v>
      </c>
      <c r="B43" s="12">
        <v>9.7899999999999991</v>
      </c>
      <c r="C43" s="12">
        <f t="shared" si="0"/>
        <v>2024</v>
      </c>
      <c r="D43" s="12">
        <f t="shared" si="1"/>
        <v>2</v>
      </c>
      <c r="E43">
        <f t="shared" si="2"/>
        <v>10.474</v>
      </c>
      <c r="G43">
        <v>2021</v>
      </c>
      <c r="H43">
        <v>7</v>
      </c>
      <c r="I43" cm="1">
        <f t="array" ref="I43">_xlfn.XLOOKUP(1, (C:C=G43)*(D:D=H43),E:E)</f>
        <v>5.2039999999999997</v>
      </c>
      <c r="M43">
        <v>2018</v>
      </c>
      <c r="N43">
        <v>7</v>
      </c>
      <c r="O43">
        <v>8.3025000000000002</v>
      </c>
    </row>
    <row r="44" spans="1:15" x14ac:dyDescent="0.25">
      <c r="A44" s="13">
        <v>45330</v>
      </c>
      <c r="B44" s="12">
        <v>10.96</v>
      </c>
      <c r="C44" s="12">
        <f t="shared" si="0"/>
        <v>2024</v>
      </c>
      <c r="D44" s="12">
        <f t="shared" si="1"/>
        <v>2</v>
      </c>
      <c r="E44">
        <f t="shared" si="2"/>
        <v>10.474</v>
      </c>
      <c r="G44">
        <v>2021</v>
      </c>
      <c r="H44">
        <v>6</v>
      </c>
      <c r="I44" cm="1">
        <f t="array" ref="I44">_xlfn.XLOOKUP(1, (C:C=G44)*(D:D=H44),E:E)</f>
        <v>5.16</v>
      </c>
      <c r="M44">
        <v>2018</v>
      </c>
      <c r="N44">
        <v>6</v>
      </c>
      <c r="O44">
        <v>8.3350000000000009</v>
      </c>
    </row>
    <row r="45" spans="1:15" x14ac:dyDescent="0.25">
      <c r="A45" s="13">
        <v>45323</v>
      </c>
      <c r="B45" s="12">
        <v>11.97</v>
      </c>
      <c r="C45" s="12">
        <f t="shared" si="0"/>
        <v>2024</v>
      </c>
      <c r="D45" s="12">
        <f t="shared" si="1"/>
        <v>2</v>
      </c>
      <c r="E45">
        <f t="shared" si="2"/>
        <v>10.474</v>
      </c>
      <c r="G45">
        <v>2021</v>
      </c>
      <c r="H45">
        <v>5</v>
      </c>
      <c r="I45" cm="1">
        <f t="array" ref="I45">_xlfn.XLOOKUP(1, (C:C=G45)*(D:D=H45),E:E)</f>
        <v>5.1225000000000005</v>
      </c>
      <c r="M45">
        <v>2018</v>
      </c>
      <c r="N45">
        <v>5</v>
      </c>
      <c r="O45">
        <v>8.27</v>
      </c>
    </row>
    <row r="46" spans="1:15" x14ac:dyDescent="0.25">
      <c r="A46" s="13">
        <v>45315</v>
      </c>
      <c r="B46" s="12">
        <v>13.35</v>
      </c>
      <c r="C46" s="12">
        <f t="shared" si="0"/>
        <v>2024</v>
      </c>
      <c r="D46" s="12">
        <f t="shared" si="1"/>
        <v>1</v>
      </c>
      <c r="E46">
        <f t="shared" si="2"/>
        <v>13.995000000000001</v>
      </c>
      <c r="G46">
        <v>2021</v>
      </c>
      <c r="H46">
        <v>4</v>
      </c>
      <c r="I46" cm="1">
        <f t="array" ref="I46">_xlfn.XLOOKUP(1, (C:C=G46)*(D:D=H46),E:E)</f>
        <v>5.0860000000000003</v>
      </c>
      <c r="M46">
        <v>2018</v>
      </c>
      <c r="N46">
        <v>4</v>
      </c>
      <c r="O46">
        <v>8.125</v>
      </c>
    </row>
    <row r="47" spans="1:15" x14ac:dyDescent="0.25">
      <c r="A47" s="13">
        <v>45309</v>
      </c>
      <c r="B47" s="12">
        <v>13.91</v>
      </c>
      <c r="C47" s="12">
        <f t="shared" si="0"/>
        <v>2024</v>
      </c>
      <c r="D47" s="12">
        <f t="shared" si="1"/>
        <v>1</v>
      </c>
      <c r="E47">
        <f t="shared" si="2"/>
        <v>13.995000000000001</v>
      </c>
      <c r="G47">
        <v>2021</v>
      </c>
      <c r="H47">
        <v>3</v>
      </c>
      <c r="I47" cm="1">
        <f t="array" ref="I47">_xlfn.XLOOKUP(1, (C:C=G47)*(D:D=H47),E:E)</f>
        <v>4.9975000000000005</v>
      </c>
      <c r="M47">
        <v>2018</v>
      </c>
      <c r="N47">
        <v>3</v>
      </c>
      <c r="O47">
        <v>8.245000000000001</v>
      </c>
    </row>
    <row r="48" spans="1:15" x14ac:dyDescent="0.25">
      <c r="A48" s="13">
        <v>45302</v>
      </c>
      <c r="B48" s="12">
        <v>14.27</v>
      </c>
      <c r="C48" s="12">
        <f t="shared" si="0"/>
        <v>2024</v>
      </c>
      <c r="D48" s="12">
        <f t="shared" si="1"/>
        <v>1</v>
      </c>
      <c r="E48">
        <f t="shared" si="2"/>
        <v>13.995000000000001</v>
      </c>
      <c r="G48">
        <v>2021</v>
      </c>
      <c r="H48">
        <v>2</v>
      </c>
      <c r="I48" cm="1">
        <f t="array" ref="I48">_xlfn.XLOOKUP(1, (C:C=G48)*(D:D=H48),E:E)</f>
        <v>4.7850000000000001</v>
      </c>
      <c r="M48">
        <v>2018</v>
      </c>
      <c r="N48">
        <v>2</v>
      </c>
      <c r="O48">
        <v>8.0033333333333321</v>
      </c>
    </row>
    <row r="49" spans="1:15" x14ac:dyDescent="0.25">
      <c r="A49" s="13">
        <v>45295</v>
      </c>
      <c r="B49" s="12">
        <v>14.45</v>
      </c>
      <c r="C49" s="12">
        <f t="shared" si="0"/>
        <v>2024</v>
      </c>
      <c r="D49" s="12">
        <f t="shared" si="1"/>
        <v>1</v>
      </c>
      <c r="E49">
        <f t="shared" si="2"/>
        <v>13.995000000000001</v>
      </c>
      <c r="G49">
        <v>2021</v>
      </c>
      <c r="H49">
        <v>1</v>
      </c>
      <c r="I49" cm="1">
        <f t="array" ref="I49">_xlfn.XLOOKUP(1, (C:C=G49)*(D:D=H49),E:E)</f>
        <v>4.6980000000000004</v>
      </c>
      <c r="M49">
        <v>2018</v>
      </c>
      <c r="N49">
        <v>1</v>
      </c>
      <c r="O49" t="e">
        <v>#DIV/0!</v>
      </c>
    </row>
    <row r="50" spans="1:15" x14ac:dyDescent="0.25">
      <c r="A50" s="13">
        <v>45288</v>
      </c>
      <c r="B50" s="12">
        <v>14.51</v>
      </c>
      <c r="C50" s="12">
        <f t="shared" si="0"/>
        <v>2023</v>
      </c>
      <c r="D50" s="12">
        <f t="shared" si="1"/>
        <v>12</v>
      </c>
      <c r="E50">
        <f t="shared" si="2"/>
        <v>14.585000000000001</v>
      </c>
      <c r="G50">
        <v>2020</v>
      </c>
      <c r="H50">
        <v>12</v>
      </c>
      <c r="I50" cm="1">
        <f t="array" ref="I50">_xlfn.XLOOKUP(1, (C:C=G50)*(D:D=H50),E:E)</f>
        <v>4.665</v>
      </c>
      <c r="M50">
        <v>2019</v>
      </c>
      <c r="N50">
        <v>12</v>
      </c>
      <c r="O50">
        <v>7.4799999999999995</v>
      </c>
    </row>
    <row r="51" spans="1:15" x14ac:dyDescent="0.25">
      <c r="A51" s="13">
        <v>45281</v>
      </c>
      <c r="B51" s="12">
        <v>14.57</v>
      </c>
      <c r="C51" s="12">
        <f t="shared" si="0"/>
        <v>2023</v>
      </c>
      <c r="D51" s="12">
        <f t="shared" si="1"/>
        <v>12</v>
      </c>
      <c r="E51">
        <f t="shared" si="2"/>
        <v>14.585000000000001</v>
      </c>
      <c r="G51">
        <v>2020</v>
      </c>
      <c r="H51">
        <v>11</v>
      </c>
      <c r="I51" cm="1">
        <f t="array" ref="I51">_xlfn.XLOOKUP(1, (C:C=G51)*(D:D=H51),E:E)</f>
        <v>4.6050000000000004</v>
      </c>
      <c r="M51">
        <v>2019</v>
      </c>
      <c r="N51">
        <v>11</v>
      </c>
      <c r="O51">
        <v>7.5024999999999995</v>
      </c>
    </row>
    <row r="52" spans="1:15" x14ac:dyDescent="0.25">
      <c r="A52" s="13">
        <v>45274</v>
      </c>
      <c r="B52" s="12">
        <v>14.59</v>
      </c>
      <c r="C52" s="12">
        <f t="shared" si="0"/>
        <v>2023</v>
      </c>
      <c r="D52" s="12">
        <f t="shared" si="1"/>
        <v>12</v>
      </c>
      <c r="E52">
        <f t="shared" si="2"/>
        <v>14.585000000000001</v>
      </c>
      <c r="G52">
        <v>2020</v>
      </c>
      <c r="H52">
        <v>10</v>
      </c>
      <c r="I52" cm="1">
        <f t="array" ref="I52">_xlfn.XLOOKUP(1, (C:C=G52)*(D:D=H52),E:E)</f>
        <v>4.5766666666666671</v>
      </c>
      <c r="M52">
        <v>2019</v>
      </c>
      <c r="N52">
        <v>10</v>
      </c>
      <c r="O52">
        <v>7.5600000000000005</v>
      </c>
    </row>
    <row r="53" spans="1:15" x14ac:dyDescent="0.25">
      <c r="A53" s="13">
        <v>45267</v>
      </c>
      <c r="B53" s="12">
        <v>14.67</v>
      </c>
      <c r="C53" s="12">
        <f t="shared" si="0"/>
        <v>2023</v>
      </c>
      <c r="D53" s="12">
        <f t="shared" si="1"/>
        <v>12</v>
      </c>
      <c r="E53">
        <f t="shared" si="2"/>
        <v>14.585000000000001</v>
      </c>
      <c r="G53">
        <v>2020</v>
      </c>
      <c r="H53">
        <v>9</v>
      </c>
      <c r="I53" cm="1">
        <f t="array" ref="I53">_xlfn.XLOOKUP(1, (C:C=G53)*(D:D=H53),E:E)</f>
        <v>4.5149999999999997</v>
      </c>
      <c r="M53">
        <v>2019</v>
      </c>
      <c r="N53">
        <v>9</v>
      </c>
      <c r="O53">
        <v>7.6150000000000002</v>
      </c>
    </row>
    <row r="54" spans="1:15" x14ac:dyDescent="0.25">
      <c r="A54" s="13">
        <v>45260</v>
      </c>
      <c r="B54" s="12">
        <v>14.86</v>
      </c>
      <c r="C54" s="12">
        <f t="shared" si="0"/>
        <v>2023</v>
      </c>
      <c r="D54" s="12">
        <f t="shared" si="1"/>
        <v>11</v>
      </c>
      <c r="E54">
        <f t="shared" si="2"/>
        <v>15.422000000000001</v>
      </c>
      <c r="G54">
        <v>2020</v>
      </c>
      <c r="H54">
        <v>8</v>
      </c>
      <c r="I54" cm="1">
        <f t="array" ref="I54">_xlfn.XLOOKUP(1, (C:C=G54)*(D:D=H54),E:E)</f>
        <v>4.6174999999999997</v>
      </c>
      <c r="M54">
        <v>2019</v>
      </c>
      <c r="N54">
        <v>8</v>
      </c>
      <c r="O54">
        <v>7.7739999999999991</v>
      </c>
    </row>
    <row r="55" spans="1:15" x14ac:dyDescent="0.25">
      <c r="A55" s="13">
        <v>45253</v>
      </c>
      <c r="B55" s="12">
        <v>15.29</v>
      </c>
      <c r="C55" s="12">
        <f t="shared" si="0"/>
        <v>2023</v>
      </c>
      <c r="D55" s="12">
        <f t="shared" si="1"/>
        <v>11</v>
      </c>
      <c r="E55">
        <f t="shared" si="2"/>
        <v>15.422000000000001</v>
      </c>
      <c r="G55">
        <v>2020</v>
      </c>
      <c r="H55">
        <v>7</v>
      </c>
      <c r="I55" cm="1">
        <f t="array" ref="I55">_xlfn.XLOOKUP(1, (C:C=G55)*(D:D=H55),E:E)</f>
        <v>4.8</v>
      </c>
      <c r="M55">
        <v>2019</v>
      </c>
      <c r="N55">
        <v>7</v>
      </c>
      <c r="O55">
        <v>8.0350000000000001</v>
      </c>
    </row>
    <row r="56" spans="1:15" x14ac:dyDescent="0.25">
      <c r="A56" s="13">
        <v>45246</v>
      </c>
      <c r="B56" s="12">
        <v>15.39</v>
      </c>
      <c r="C56" s="12">
        <f t="shared" si="0"/>
        <v>2023</v>
      </c>
      <c r="D56" s="12">
        <f t="shared" si="1"/>
        <v>11</v>
      </c>
      <c r="E56">
        <f t="shared" si="2"/>
        <v>15.422000000000001</v>
      </c>
      <c r="G56">
        <v>2020</v>
      </c>
      <c r="H56">
        <v>6</v>
      </c>
      <c r="I56" cm="1">
        <f t="array" ref="I56">_xlfn.XLOOKUP(1, (C:C=G56)*(D:D=H56),E:E)</f>
        <v>6.2874999999999996</v>
      </c>
      <c r="M56">
        <v>2019</v>
      </c>
      <c r="N56">
        <v>6</v>
      </c>
      <c r="O56">
        <v>8.3450000000000006</v>
      </c>
    </row>
    <row r="57" spans="1:15" x14ac:dyDescent="0.25">
      <c r="A57" s="13">
        <v>45239</v>
      </c>
      <c r="B57" s="12">
        <v>15.64</v>
      </c>
      <c r="C57" s="12">
        <f t="shared" si="0"/>
        <v>2023</v>
      </c>
      <c r="D57" s="12">
        <f t="shared" si="1"/>
        <v>11</v>
      </c>
      <c r="E57">
        <f t="shared" si="2"/>
        <v>15.422000000000001</v>
      </c>
      <c r="G57">
        <v>2020</v>
      </c>
      <c r="H57">
        <v>5</v>
      </c>
      <c r="I57" cm="1">
        <f t="array" ref="I57">_xlfn.XLOOKUP(1, (C:C=G57)*(D:D=H57),E:E)</f>
        <v>6.7450000000000001</v>
      </c>
      <c r="M57">
        <v>2019</v>
      </c>
      <c r="N57">
        <v>5</v>
      </c>
      <c r="O57">
        <v>8.64</v>
      </c>
    </row>
    <row r="58" spans="1:15" x14ac:dyDescent="0.25">
      <c r="A58" s="13">
        <v>45232</v>
      </c>
      <c r="B58" s="12">
        <v>15.93</v>
      </c>
      <c r="C58" s="12">
        <f t="shared" si="0"/>
        <v>2023</v>
      </c>
      <c r="D58" s="12">
        <f t="shared" si="1"/>
        <v>11</v>
      </c>
      <c r="E58">
        <f t="shared" si="2"/>
        <v>15.422000000000001</v>
      </c>
      <c r="G58">
        <v>2020</v>
      </c>
      <c r="H58">
        <v>4</v>
      </c>
      <c r="I58" cm="1">
        <f t="array" ref="I58">_xlfn.XLOOKUP(1, (C:C=G58)*(D:D=H58),E:E)</f>
        <v>6.7625000000000002</v>
      </c>
      <c r="M58">
        <v>2019</v>
      </c>
      <c r="N58">
        <v>4</v>
      </c>
      <c r="O58">
        <v>9.067499999999999</v>
      </c>
    </row>
    <row r="59" spans="1:15" x14ac:dyDescent="0.25">
      <c r="A59" s="13">
        <v>45225</v>
      </c>
      <c r="B59" s="12">
        <v>16.100000000000001</v>
      </c>
      <c r="C59" s="12">
        <f t="shared" si="0"/>
        <v>2023</v>
      </c>
      <c r="D59" s="12">
        <f t="shared" si="1"/>
        <v>10</v>
      </c>
      <c r="E59">
        <f t="shared" si="2"/>
        <v>16.565000000000001</v>
      </c>
      <c r="G59">
        <v>2020</v>
      </c>
      <c r="H59">
        <v>3</v>
      </c>
      <c r="I59" cm="1">
        <f t="array" ref="I59">_xlfn.XLOOKUP(1, (C:C=G59)*(D:D=H59),E:E)</f>
        <v>7.2725</v>
      </c>
      <c r="M59">
        <v>2019</v>
      </c>
      <c r="N59">
        <v>3</v>
      </c>
      <c r="O59">
        <v>9.4766666666666683</v>
      </c>
    </row>
    <row r="60" spans="1:15" x14ac:dyDescent="0.25">
      <c r="A60" s="13">
        <v>45218</v>
      </c>
      <c r="B60" s="12">
        <v>16.3</v>
      </c>
      <c r="C60" s="12">
        <f t="shared" si="0"/>
        <v>2023</v>
      </c>
      <c r="D60" s="12">
        <f t="shared" si="1"/>
        <v>10</v>
      </c>
      <c r="E60">
        <f t="shared" si="2"/>
        <v>16.565000000000001</v>
      </c>
      <c r="G60">
        <v>2020</v>
      </c>
      <c r="H60">
        <v>2</v>
      </c>
      <c r="I60" cm="1">
        <f t="array" ref="I60">_xlfn.XLOOKUP(1, (C:C=G60)*(D:D=H60),E:E)</f>
        <v>7.3975</v>
      </c>
      <c r="M60">
        <v>2019</v>
      </c>
      <c r="N60">
        <v>2</v>
      </c>
      <c r="O60">
        <v>9.5500000000000007</v>
      </c>
    </row>
    <row r="61" spans="1:15" x14ac:dyDescent="0.25">
      <c r="A61" s="13">
        <v>45211</v>
      </c>
      <c r="B61" s="12">
        <v>16.64</v>
      </c>
      <c r="C61" s="12">
        <f t="shared" si="0"/>
        <v>2023</v>
      </c>
      <c r="D61" s="12">
        <f t="shared" si="1"/>
        <v>10</v>
      </c>
      <c r="E61">
        <f t="shared" si="2"/>
        <v>16.565000000000001</v>
      </c>
      <c r="G61">
        <v>2020</v>
      </c>
      <c r="H61">
        <v>1</v>
      </c>
      <c r="I61" cm="1">
        <f t="array" ref="I61">_xlfn.XLOOKUP(1, (C:C=G61)*(D:D=H61),E:E)</f>
        <v>7.52</v>
      </c>
      <c r="M61">
        <v>2019</v>
      </c>
      <c r="N61">
        <v>1</v>
      </c>
      <c r="O61" t="e">
        <v>#DIV/0!</v>
      </c>
    </row>
    <row r="62" spans="1:15" x14ac:dyDescent="0.25">
      <c r="A62" s="13">
        <v>45204</v>
      </c>
      <c r="B62" s="12">
        <v>17.22</v>
      </c>
      <c r="C62" s="12">
        <f t="shared" si="0"/>
        <v>2023</v>
      </c>
      <c r="D62" s="12">
        <f t="shared" si="1"/>
        <v>10</v>
      </c>
      <c r="E62">
        <f t="shared" si="2"/>
        <v>16.565000000000001</v>
      </c>
      <c r="G62">
        <v>2019</v>
      </c>
      <c r="H62">
        <v>12</v>
      </c>
      <c r="I62" cm="1">
        <f t="array" ref="I62">_xlfn.XLOOKUP(1, (C:C=G62)*(D:D=H62),E:E)</f>
        <v>7.4799999999999995</v>
      </c>
      <c r="M62">
        <v>2020</v>
      </c>
      <c r="N62">
        <v>12</v>
      </c>
      <c r="O62">
        <v>4.665</v>
      </c>
    </row>
    <row r="63" spans="1:15" x14ac:dyDescent="0.25">
      <c r="A63" s="13">
        <v>45195</v>
      </c>
      <c r="B63" s="12">
        <v>17.420000000000002</v>
      </c>
      <c r="C63" s="12">
        <f t="shared" si="0"/>
        <v>2023</v>
      </c>
      <c r="D63" s="12">
        <f t="shared" si="1"/>
        <v>9</v>
      </c>
      <c r="E63">
        <f t="shared" si="2"/>
        <v>18.04</v>
      </c>
      <c r="G63">
        <v>2019</v>
      </c>
      <c r="H63">
        <v>11</v>
      </c>
      <c r="I63" cm="1">
        <f t="array" ref="I63">_xlfn.XLOOKUP(1, (C:C=G63)*(D:D=H63),E:E)</f>
        <v>7.5024999999999995</v>
      </c>
      <c r="M63">
        <v>2020</v>
      </c>
      <c r="N63">
        <v>11</v>
      </c>
      <c r="O63">
        <v>4.6050000000000004</v>
      </c>
    </row>
    <row r="64" spans="1:15" x14ac:dyDescent="0.25">
      <c r="A64" s="13">
        <v>45190</v>
      </c>
      <c r="B64" s="12">
        <v>18.12</v>
      </c>
      <c r="C64" s="12">
        <f t="shared" si="0"/>
        <v>2023</v>
      </c>
      <c r="D64" s="12">
        <f t="shared" si="1"/>
        <v>9</v>
      </c>
      <c r="E64">
        <f t="shared" si="2"/>
        <v>18.04</v>
      </c>
      <c r="G64">
        <v>2019</v>
      </c>
      <c r="H64">
        <v>10</v>
      </c>
      <c r="I64" cm="1">
        <f t="array" ref="I64">_xlfn.XLOOKUP(1, (C:C=G64)*(D:D=H64),E:E)</f>
        <v>7.5600000000000005</v>
      </c>
      <c r="M64">
        <v>2020</v>
      </c>
      <c r="N64">
        <v>10</v>
      </c>
      <c r="O64">
        <v>4.5766666666666671</v>
      </c>
    </row>
    <row r="65" spans="1:15" x14ac:dyDescent="0.25">
      <c r="A65" s="13">
        <v>45183</v>
      </c>
      <c r="B65" s="12">
        <v>18.16</v>
      </c>
      <c r="C65" s="12">
        <f t="shared" si="0"/>
        <v>2023</v>
      </c>
      <c r="D65" s="12">
        <f t="shared" si="1"/>
        <v>9</v>
      </c>
      <c r="E65">
        <f t="shared" si="2"/>
        <v>18.04</v>
      </c>
      <c r="G65">
        <v>2019</v>
      </c>
      <c r="H65">
        <v>9</v>
      </c>
      <c r="I65" cm="1">
        <f t="array" ref="I65">_xlfn.XLOOKUP(1, (C:C=G65)*(D:D=H65),E:E)</f>
        <v>7.6150000000000002</v>
      </c>
      <c r="M65">
        <v>2020</v>
      </c>
      <c r="N65">
        <v>9</v>
      </c>
      <c r="O65">
        <v>4.5149999999999997</v>
      </c>
    </row>
    <row r="66" spans="1:15" x14ac:dyDescent="0.25">
      <c r="A66" s="13">
        <v>45176</v>
      </c>
      <c r="B66" s="12">
        <v>18.46</v>
      </c>
      <c r="C66" s="12">
        <f t="shared" si="0"/>
        <v>2023</v>
      </c>
      <c r="D66" s="12">
        <f t="shared" si="1"/>
        <v>9</v>
      </c>
      <c r="E66">
        <f t="shared" si="2"/>
        <v>18.04</v>
      </c>
      <c r="G66">
        <v>2019</v>
      </c>
      <c r="H66">
        <v>8</v>
      </c>
      <c r="I66" cm="1">
        <f t="array" ref="I66">_xlfn.XLOOKUP(1, (C:C=G66)*(D:D=H66),E:E)</f>
        <v>7.7739999999999991</v>
      </c>
      <c r="M66">
        <v>2020</v>
      </c>
      <c r="N66">
        <v>8</v>
      </c>
      <c r="O66">
        <v>4.6174999999999997</v>
      </c>
    </row>
    <row r="67" spans="1:15" x14ac:dyDescent="0.25">
      <c r="A67" s="13">
        <v>45169</v>
      </c>
      <c r="B67" s="12">
        <v>18.48</v>
      </c>
      <c r="C67" s="12">
        <f t="shared" ref="C67:C130" si="3">YEAR(A67)</f>
        <v>2023</v>
      </c>
      <c r="D67" s="12">
        <f t="shared" ref="D67:D130" si="4">(MONTH(A67))</f>
        <v>8</v>
      </c>
      <c r="E67">
        <f t="shared" ref="E67:E130" si="5">AVERAGEIFS($B:$B, $C:$C, C67, $D:$D, D67)</f>
        <v>18.736000000000001</v>
      </c>
      <c r="G67">
        <v>2019</v>
      </c>
      <c r="H67">
        <v>7</v>
      </c>
      <c r="I67" cm="1">
        <f t="array" ref="I67">_xlfn.XLOOKUP(1, (C:C=G67)*(D:D=H67),E:E)</f>
        <v>8.0350000000000001</v>
      </c>
      <c r="M67">
        <v>2020</v>
      </c>
      <c r="N67">
        <v>7</v>
      </c>
      <c r="O67">
        <v>4.8</v>
      </c>
    </row>
    <row r="68" spans="1:15" x14ac:dyDescent="0.25">
      <c r="A68" s="13">
        <v>45162</v>
      </c>
      <c r="B68" s="12">
        <v>17.97</v>
      </c>
      <c r="C68" s="12">
        <f t="shared" si="3"/>
        <v>2023</v>
      </c>
      <c r="D68" s="12">
        <f t="shared" si="4"/>
        <v>8</v>
      </c>
      <c r="E68">
        <f t="shared" si="5"/>
        <v>18.736000000000001</v>
      </c>
      <c r="G68">
        <v>2019</v>
      </c>
      <c r="H68">
        <v>6</v>
      </c>
      <c r="I68" cm="1">
        <f t="array" ref="I68">_xlfn.XLOOKUP(1, (C:C=G68)*(D:D=H68),E:E)</f>
        <v>8.3450000000000006</v>
      </c>
      <c r="M68">
        <v>2020</v>
      </c>
      <c r="N68">
        <v>6</v>
      </c>
      <c r="O68">
        <v>6.2874999999999996</v>
      </c>
    </row>
    <row r="69" spans="1:15" x14ac:dyDescent="0.25">
      <c r="A69" s="13">
        <v>45155</v>
      </c>
      <c r="B69" s="12">
        <v>17.55</v>
      </c>
      <c r="C69" s="12">
        <f t="shared" si="3"/>
        <v>2023</v>
      </c>
      <c r="D69" s="12">
        <f t="shared" si="4"/>
        <v>8</v>
      </c>
      <c r="E69">
        <f t="shared" si="5"/>
        <v>18.736000000000001</v>
      </c>
      <c r="G69">
        <v>2019</v>
      </c>
      <c r="H69">
        <v>5</v>
      </c>
      <c r="I69" cm="1">
        <f t="array" ref="I69">_xlfn.XLOOKUP(1, (C:C=G69)*(D:D=H69),E:E)</f>
        <v>8.64</v>
      </c>
      <c r="M69">
        <v>2020</v>
      </c>
      <c r="N69">
        <v>5</v>
      </c>
      <c r="O69">
        <v>6.7450000000000001</v>
      </c>
    </row>
    <row r="70" spans="1:15" x14ac:dyDescent="0.25">
      <c r="A70" s="13">
        <v>45148</v>
      </c>
      <c r="B70" s="12">
        <v>19.78</v>
      </c>
      <c r="C70" s="12">
        <f t="shared" si="3"/>
        <v>2023</v>
      </c>
      <c r="D70" s="12">
        <f t="shared" si="4"/>
        <v>8</v>
      </c>
      <c r="E70">
        <f t="shared" si="5"/>
        <v>18.736000000000001</v>
      </c>
      <c r="G70">
        <v>2019</v>
      </c>
      <c r="H70">
        <v>4</v>
      </c>
      <c r="I70" cm="1">
        <f t="array" ref="I70">_xlfn.XLOOKUP(1, (C:C=G70)*(D:D=H70),E:E)</f>
        <v>9.067499999999999</v>
      </c>
      <c r="M70">
        <v>2020</v>
      </c>
      <c r="N70">
        <v>4</v>
      </c>
      <c r="O70">
        <v>6.7625000000000002</v>
      </c>
    </row>
    <row r="71" spans="1:15" x14ac:dyDescent="0.25">
      <c r="A71" s="13">
        <v>45142</v>
      </c>
      <c r="B71" s="12">
        <v>19.899999999999999</v>
      </c>
      <c r="C71" s="12">
        <f t="shared" si="3"/>
        <v>2023</v>
      </c>
      <c r="D71" s="12">
        <f t="shared" si="4"/>
        <v>8</v>
      </c>
      <c r="E71">
        <f t="shared" si="5"/>
        <v>18.736000000000001</v>
      </c>
      <c r="G71">
        <v>2019</v>
      </c>
      <c r="H71">
        <v>3</v>
      </c>
      <c r="I71" cm="1">
        <f t="array" ref="I71">_xlfn.XLOOKUP(1, (C:C=G71)*(D:D=H71),E:E)</f>
        <v>9.4766666666666683</v>
      </c>
      <c r="M71">
        <v>2020</v>
      </c>
      <c r="N71">
        <v>3</v>
      </c>
      <c r="O71">
        <v>7.2725</v>
      </c>
    </row>
    <row r="72" spans="1:15" x14ac:dyDescent="0.25">
      <c r="A72" s="13">
        <v>45135</v>
      </c>
      <c r="B72" s="12">
        <v>19.96</v>
      </c>
      <c r="C72" s="12">
        <f t="shared" si="3"/>
        <v>2023</v>
      </c>
      <c r="D72" s="12">
        <f t="shared" si="4"/>
        <v>7</v>
      </c>
      <c r="E72">
        <f t="shared" si="5"/>
        <v>19.204999999999998</v>
      </c>
      <c r="G72">
        <v>2019</v>
      </c>
      <c r="H72">
        <v>2</v>
      </c>
      <c r="I72" cm="1">
        <f t="array" ref="I72">_xlfn.XLOOKUP(1, (C:C=G72)*(D:D=H72),E:E)</f>
        <v>9.5500000000000007</v>
      </c>
      <c r="M72">
        <v>2020</v>
      </c>
      <c r="N72">
        <v>2</v>
      </c>
      <c r="O72">
        <v>7.3975</v>
      </c>
    </row>
    <row r="73" spans="1:15" x14ac:dyDescent="0.25">
      <c r="A73" s="13">
        <v>45128</v>
      </c>
      <c r="B73" s="12">
        <v>19.989999999999998</v>
      </c>
      <c r="C73" s="12">
        <f t="shared" si="3"/>
        <v>2023</v>
      </c>
      <c r="D73" s="12">
        <f t="shared" si="4"/>
        <v>7</v>
      </c>
      <c r="E73">
        <f t="shared" si="5"/>
        <v>19.204999999999998</v>
      </c>
      <c r="G73">
        <v>2019</v>
      </c>
      <c r="H73">
        <v>1</v>
      </c>
      <c r="I73" t="e" cm="1">
        <f t="array" ref="I73">_xlfn.XLOOKUP(1, (C:C=G73)*(D:D=H73),E:E)</f>
        <v>#DIV/0!</v>
      </c>
      <c r="M73">
        <v>2020</v>
      </c>
      <c r="N73">
        <v>1</v>
      </c>
      <c r="O73">
        <v>7.52</v>
      </c>
    </row>
    <row r="74" spans="1:15" x14ac:dyDescent="0.25">
      <c r="A74" s="13">
        <v>45121</v>
      </c>
      <c r="B74" s="12">
        <v>19.079999999999998</v>
      </c>
      <c r="C74" s="12">
        <f t="shared" si="3"/>
        <v>2023</v>
      </c>
      <c r="D74" s="12">
        <f t="shared" si="4"/>
        <v>7</v>
      </c>
      <c r="E74">
        <f t="shared" si="5"/>
        <v>19.204999999999998</v>
      </c>
      <c r="G74">
        <v>2018</v>
      </c>
      <c r="H74">
        <v>12</v>
      </c>
      <c r="I74" t="e" cm="1">
        <f t="array" ref="I74">_xlfn.XLOOKUP(1, (C:C=G74)*(D:D=H74),E:E)</f>
        <v>#DIV/0!</v>
      </c>
      <c r="M74">
        <v>2021</v>
      </c>
      <c r="N74">
        <v>12</v>
      </c>
      <c r="O74">
        <v>7.4779999999999998</v>
      </c>
    </row>
    <row r="75" spans="1:15" x14ac:dyDescent="0.25">
      <c r="A75" s="13">
        <v>45120</v>
      </c>
      <c r="B75" s="12"/>
      <c r="C75" s="12">
        <f t="shared" si="3"/>
        <v>2023</v>
      </c>
      <c r="D75" s="12">
        <f t="shared" si="4"/>
        <v>7</v>
      </c>
      <c r="E75">
        <f t="shared" si="5"/>
        <v>19.204999999999998</v>
      </c>
      <c r="G75">
        <v>2018</v>
      </c>
      <c r="H75">
        <v>11</v>
      </c>
      <c r="I75" cm="1">
        <f t="array" ref="I75">_xlfn.XLOOKUP(1, (C:C=G75)*(D:D=H75),E:E)</f>
        <v>7.4324999999999992</v>
      </c>
      <c r="M75">
        <v>2021</v>
      </c>
      <c r="N75">
        <v>11</v>
      </c>
      <c r="O75">
        <v>7.8650000000000002</v>
      </c>
    </row>
    <row r="76" spans="1:15" x14ac:dyDescent="0.25">
      <c r="A76" s="13">
        <v>45114</v>
      </c>
      <c r="B76" s="12">
        <v>17.79</v>
      </c>
      <c r="C76" s="12">
        <f t="shared" si="3"/>
        <v>2023</v>
      </c>
      <c r="D76" s="12">
        <f t="shared" si="4"/>
        <v>7</v>
      </c>
      <c r="E76">
        <f t="shared" si="5"/>
        <v>19.204999999999998</v>
      </c>
      <c r="G76">
        <v>2018</v>
      </c>
      <c r="H76">
        <v>10</v>
      </c>
      <c r="I76" cm="1">
        <f t="array" ref="I76">_xlfn.XLOOKUP(1, (C:C=G76)*(D:D=H76),E:E)</f>
        <v>6.253333333333333</v>
      </c>
      <c r="M76">
        <v>2021</v>
      </c>
      <c r="N76">
        <v>10</v>
      </c>
      <c r="O76">
        <v>7.742</v>
      </c>
    </row>
    <row r="77" spans="1:15" x14ac:dyDescent="0.25">
      <c r="A77" s="13">
        <v>45104</v>
      </c>
      <c r="B77" s="12">
        <v>23</v>
      </c>
      <c r="C77" s="12">
        <f t="shared" si="3"/>
        <v>2023</v>
      </c>
      <c r="D77" s="12">
        <f t="shared" si="4"/>
        <v>6</v>
      </c>
      <c r="E77">
        <f t="shared" si="5"/>
        <v>23.604000000000003</v>
      </c>
      <c r="G77">
        <v>2018</v>
      </c>
      <c r="H77">
        <v>9</v>
      </c>
      <c r="I77" cm="1">
        <f t="array" ref="I77">_xlfn.XLOOKUP(1, (C:C=G77)*(D:D=H77),E:E)</f>
        <v>5.5200000000000005</v>
      </c>
      <c r="M77">
        <v>2021</v>
      </c>
      <c r="N77">
        <v>9</v>
      </c>
      <c r="O77">
        <v>6.0975000000000001</v>
      </c>
    </row>
    <row r="78" spans="1:15" x14ac:dyDescent="0.25">
      <c r="A78" s="13">
        <v>45100</v>
      </c>
      <c r="B78" s="12">
        <v>23</v>
      </c>
      <c r="C78" s="12">
        <f t="shared" si="3"/>
        <v>2023</v>
      </c>
      <c r="D78" s="12">
        <f t="shared" si="4"/>
        <v>6</v>
      </c>
      <c r="E78">
        <f t="shared" si="5"/>
        <v>23.604000000000003</v>
      </c>
      <c r="G78">
        <v>2018</v>
      </c>
      <c r="H78">
        <v>8</v>
      </c>
      <c r="I78" cm="1">
        <f t="array" ref="I78">_xlfn.XLOOKUP(1, (C:C=G78)*(D:D=H78),E:E)</f>
        <v>8.11</v>
      </c>
      <c r="M78">
        <v>2021</v>
      </c>
      <c r="N78">
        <v>8</v>
      </c>
      <c r="O78">
        <v>5.4275000000000002</v>
      </c>
    </row>
    <row r="79" spans="1:15" x14ac:dyDescent="0.25">
      <c r="A79" s="13">
        <v>45093</v>
      </c>
      <c r="B79" s="12">
        <v>23.16</v>
      </c>
      <c r="C79" s="12">
        <f t="shared" si="3"/>
        <v>2023</v>
      </c>
      <c r="D79" s="12">
        <f t="shared" si="4"/>
        <v>6</v>
      </c>
      <c r="E79">
        <f t="shared" si="5"/>
        <v>23.604000000000003</v>
      </c>
      <c r="G79">
        <v>2018</v>
      </c>
      <c r="H79">
        <v>7</v>
      </c>
      <c r="I79" cm="1">
        <f t="array" ref="I79">_xlfn.XLOOKUP(1, (C:C=G79)*(D:D=H79),E:E)</f>
        <v>8.3025000000000002</v>
      </c>
      <c r="M79">
        <v>2021</v>
      </c>
      <c r="N79">
        <v>7</v>
      </c>
      <c r="O79">
        <v>5.2039999999999997</v>
      </c>
    </row>
    <row r="80" spans="1:15" x14ac:dyDescent="0.25">
      <c r="A80" s="13">
        <v>45086</v>
      </c>
      <c r="B80" s="12">
        <v>23.21</v>
      </c>
      <c r="C80" s="12">
        <f t="shared" si="3"/>
        <v>2023</v>
      </c>
      <c r="D80" s="12">
        <f t="shared" si="4"/>
        <v>6</v>
      </c>
      <c r="E80">
        <f t="shared" si="5"/>
        <v>23.604000000000003</v>
      </c>
      <c r="G80">
        <v>2018</v>
      </c>
      <c r="H80">
        <v>6</v>
      </c>
      <c r="I80" cm="1">
        <f t="array" ref="I80">_xlfn.XLOOKUP(1, (C:C=G80)*(D:D=H80),E:E)</f>
        <v>8.3350000000000009</v>
      </c>
      <c r="M80">
        <v>2021</v>
      </c>
      <c r="N80">
        <v>6</v>
      </c>
      <c r="O80">
        <v>5.16</v>
      </c>
    </row>
    <row r="81" spans="1:15" x14ac:dyDescent="0.25">
      <c r="A81" s="13">
        <v>45079</v>
      </c>
      <c r="B81" s="12">
        <v>25.65</v>
      </c>
      <c r="C81" s="12">
        <f t="shared" si="3"/>
        <v>2023</v>
      </c>
      <c r="D81" s="12">
        <f t="shared" si="4"/>
        <v>6</v>
      </c>
      <c r="E81">
        <f t="shared" si="5"/>
        <v>23.604000000000003</v>
      </c>
      <c r="G81">
        <v>2018</v>
      </c>
      <c r="H81">
        <v>5</v>
      </c>
      <c r="I81" cm="1">
        <f t="array" ref="I81">_xlfn.XLOOKUP(1, (C:C=G81)*(D:D=H81),E:E)</f>
        <v>8.27</v>
      </c>
      <c r="M81">
        <v>2021</v>
      </c>
      <c r="N81">
        <v>5</v>
      </c>
      <c r="O81">
        <v>5.1225000000000005</v>
      </c>
    </row>
    <row r="82" spans="1:15" x14ac:dyDescent="0.25">
      <c r="A82" s="13">
        <v>45072</v>
      </c>
      <c r="B82" s="12">
        <v>25.66</v>
      </c>
      <c r="C82" s="12">
        <f t="shared" si="3"/>
        <v>2023</v>
      </c>
      <c r="D82" s="12">
        <f t="shared" si="4"/>
        <v>5</v>
      </c>
      <c r="E82">
        <f t="shared" si="5"/>
        <v>25.6875</v>
      </c>
      <c r="G82">
        <v>2018</v>
      </c>
      <c r="H82">
        <v>4</v>
      </c>
      <c r="I82" cm="1">
        <f t="array" ref="I82">_xlfn.XLOOKUP(1, (C:C=G82)*(D:D=H82),E:E)</f>
        <v>8.125</v>
      </c>
      <c r="M82">
        <v>2021</v>
      </c>
      <c r="N82">
        <v>4</v>
      </c>
      <c r="O82">
        <v>5.0860000000000003</v>
      </c>
    </row>
    <row r="83" spans="1:15" x14ac:dyDescent="0.25">
      <c r="A83" s="13">
        <v>45065</v>
      </c>
      <c r="B83" s="12">
        <v>25.47</v>
      </c>
      <c r="C83" s="12">
        <f t="shared" si="3"/>
        <v>2023</v>
      </c>
      <c r="D83" s="12">
        <f t="shared" si="4"/>
        <v>5</v>
      </c>
      <c r="E83">
        <f t="shared" si="5"/>
        <v>25.6875</v>
      </c>
      <c r="G83">
        <v>2018</v>
      </c>
      <c r="H83">
        <v>3</v>
      </c>
      <c r="I83" cm="1">
        <f t="array" ref="I83">_xlfn.XLOOKUP(1, (C:C=G83)*(D:D=H83),E:E)</f>
        <v>8.245000000000001</v>
      </c>
      <c r="M83">
        <v>2021</v>
      </c>
      <c r="N83">
        <v>3</v>
      </c>
      <c r="O83">
        <v>4.9975000000000005</v>
      </c>
    </row>
    <row r="84" spans="1:15" x14ac:dyDescent="0.25">
      <c r="A84" s="13">
        <v>45058</v>
      </c>
      <c r="B84" s="12">
        <v>25.8</v>
      </c>
      <c r="C84" s="12">
        <f t="shared" si="3"/>
        <v>2023</v>
      </c>
      <c r="D84" s="12">
        <f t="shared" si="4"/>
        <v>5</v>
      </c>
      <c r="E84">
        <f t="shared" si="5"/>
        <v>25.6875</v>
      </c>
      <c r="G84">
        <v>2018</v>
      </c>
      <c r="H84">
        <v>2</v>
      </c>
      <c r="I84" cm="1">
        <f t="array" ref="I84">_xlfn.XLOOKUP(1, (C:C=G84)*(D:D=H84),E:E)</f>
        <v>8.0033333333333321</v>
      </c>
      <c r="M84">
        <v>2021</v>
      </c>
      <c r="N84">
        <v>2</v>
      </c>
      <c r="O84">
        <v>4.7850000000000001</v>
      </c>
    </row>
    <row r="85" spans="1:15" x14ac:dyDescent="0.25">
      <c r="A85" s="13">
        <v>45054</v>
      </c>
      <c r="B85" s="12">
        <v>25.82</v>
      </c>
      <c r="C85" s="12">
        <f t="shared" si="3"/>
        <v>2023</v>
      </c>
      <c r="D85" s="12">
        <f t="shared" si="4"/>
        <v>5</v>
      </c>
      <c r="E85">
        <f t="shared" si="5"/>
        <v>25.6875</v>
      </c>
      <c r="G85">
        <v>2018</v>
      </c>
      <c r="H85">
        <v>1</v>
      </c>
      <c r="I85" t="e" cm="1">
        <f t="array" ref="I85">_xlfn.XLOOKUP(1, (C:C=G85)*(D:D=H85),E:E)</f>
        <v>#DIV/0!</v>
      </c>
      <c r="M85">
        <v>2021</v>
      </c>
      <c r="N85">
        <v>1</v>
      </c>
      <c r="O85">
        <v>4.6980000000000004</v>
      </c>
    </row>
    <row r="86" spans="1:15" x14ac:dyDescent="0.25">
      <c r="A86" s="13">
        <v>45044</v>
      </c>
      <c r="B86" s="12">
        <v>25.74</v>
      </c>
      <c r="C86" s="12">
        <f t="shared" si="3"/>
        <v>2023</v>
      </c>
      <c r="D86" s="12">
        <f t="shared" si="4"/>
        <v>4</v>
      </c>
      <c r="E86">
        <f t="shared" si="5"/>
        <v>25.077500000000001</v>
      </c>
      <c r="G86">
        <v>2017</v>
      </c>
      <c r="H86">
        <v>12</v>
      </c>
      <c r="I86" cm="1">
        <f t="array" ref="I86">_xlfn.XLOOKUP(1, (C:C=G86)*(D:D=H86),E:E)</f>
        <v>7.83</v>
      </c>
      <c r="M86">
        <v>2022</v>
      </c>
      <c r="N86">
        <v>12</v>
      </c>
      <c r="O86">
        <v>32.785999999999994</v>
      </c>
    </row>
    <row r="87" spans="1:15" x14ac:dyDescent="0.25">
      <c r="A87" s="13">
        <v>45037</v>
      </c>
      <c r="B87" s="12">
        <v>25.65</v>
      </c>
      <c r="C87" s="12">
        <f t="shared" si="3"/>
        <v>2023</v>
      </c>
      <c r="D87" s="12">
        <f t="shared" si="4"/>
        <v>4</v>
      </c>
      <c r="E87">
        <f t="shared" si="5"/>
        <v>25.077500000000001</v>
      </c>
      <c r="G87">
        <v>2017</v>
      </c>
      <c r="H87">
        <v>11</v>
      </c>
      <c r="I87" cm="1">
        <f t="array" ref="I87">_xlfn.XLOOKUP(1, (C:C=G87)*(D:D=H87),E:E)</f>
        <v>8.5120000000000005</v>
      </c>
      <c r="M87">
        <v>2022</v>
      </c>
      <c r="N87">
        <v>11</v>
      </c>
      <c r="O87">
        <v>33.055</v>
      </c>
    </row>
    <row r="88" spans="1:15" x14ac:dyDescent="0.25">
      <c r="A88" s="13">
        <v>45033</v>
      </c>
      <c r="B88" s="12">
        <v>24.8</v>
      </c>
      <c r="C88" s="12">
        <f t="shared" si="3"/>
        <v>2023</v>
      </c>
      <c r="D88" s="12">
        <f t="shared" si="4"/>
        <v>4</v>
      </c>
      <c r="E88">
        <f t="shared" si="5"/>
        <v>25.077500000000001</v>
      </c>
      <c r="G88">
        <v>2017</v>
      </c>
      <c r="H88">
        <v>10</v>
      </c>
      <c r="I88" cm="1">
        <f t="array" ref="I88">_xlfn.XLOOKUP(1, (C:C=G88)*(D:D=H88),E:E)</f>
        <v>8.7766666666666655</v>
      </c>
      <c r="M88">
        <v>2022</v>
      </c>
      <c r="N88">
        <v>10</v>
      </c>
      <c r="O88">
        <v>32.872500000000002</v>
      </c>
    </row>
    <row r="89" spans="1:15" x14ac:dyDescent="0.25">
      <c r="A89" s="13">
        <v>45026</v>
      </c>
      <c r="B89" s="12">
        <v>24.12</v>
      </c>
      <c r="C89" s="12">
        <f t="shared" si="3"/>
        <v>2023</v>
      </c>
      <c r="D89" s="12">
        <f t="shared" si="4"/>
        <v>4</v>
      </c>
      <c r="E89">
        <f t="shared" si="5"/>
        <v>25.077500000000001</v>
      </c>
      <c r="G89">
        <v>2017</v>
      </c>
      <c r="H89">
        <v>9</v>
      </c>
      <c r="I89" cm="1">
        <f t="array" ref="I89">_xlfn.XLOOKUP(1, (C:C=G89)*(D:D=H89),E:E)</f>
        <v>8.7100000000000009</v>
      </c>
      <c r="M89">
        <v>2022</v>
      </c>
      <c r="N89">
        <v>9</v>
      </c>
      <c r="O89">
        <v>32.475999999999999</v>
      </c>
    </row>
    <row r="90" spans="1:15" x14ac:dyDescent="0.25">
      <c r="A90" s="13">
        <v>45016</v>
      </c>
      <c r="B90" s="12">
        <v>25.99</v>
      </c>
      <c r="C90" s="12">
        <f t="shared" si="3"/>
        <v>2023</v>
      </c>
      <c r="D90" s="12">
        <f t="shared" si="4"/>
        <v>3</v>
      </c>
      <c r="E90">
        <f t="shared" si="5"/>
        <v>27.7</v>
      </c>
      <c r="G90">
        <v>2017</v>
      </c>
      <c r="H90">
        <v>8</v>
      </c>
      <c r="I90" cm="1">
        <f t="array" ref="I90">_xlfn.XLOOKUP(1, (C:C=G90)*(D:D=H90),E:E)</f>
        <v>8.9499999999999993</v>
      </c>
      <c r="M90">
        <v>2022</v>
      </c>
      <c r="N90">
        <v>8</v>
      </c>
      <c r="O90">
        <v>29.024999999999999</v>
      </c>
    </row>
    <row r="91" spans="1:15" x14ac:dyDescent="0.25">
      <c r="A91" s="13">
        <v>45009</v>
      </c>
      <c r="B91" s="12">
        <v>26.23</v>
      </c>
      <c r="C91" s="12">
        <f t="shared" si="3"/>
        <v>2023</v>
      </c>
      <c r="D91" s="12">
        <f t="shared" si="4"/>
        <v>3</v>
      </c>
      <c r="E91">
        <f t="shared" si="5"/>
        <v>27.7</v>
      </c>
      <c r="G91">
        <v>2017</v>
      </c>
      <c r="H91">
        <v>7</v>
      </c>
      <c r="I91" cm="1">
        <f t="array" ref="I91">_xlfn.XLOOKUP(1, (C:C=G91)*(D:D=H91),E:E)</f>
        <v>9.5500000000000007</v>
      </c>
      <c r="M91">
        <v>2022</v>
      </c>
      <c r="N91">
        <v>7</v>
      </c>
      <c r="O91">
        <v>28.880000000000003</v>
      </c>
    </row>
    <row r="92" spans="1:15" x14ac:dyDescent="0.25">
      <c r="A92" s="13">
        <v>45002</v>
      </c>
      <c r="B92" s="12">
        <v>27.94</v>
      </c>
      <c r="C92" s="12">
        <f t="shared" si="3"/>
        <v>2023</v>
      </c>
      <c r="D92" s="12">
        <f t="shared" si="4"/>
        <v>3</v>
      </c>
      <c r="E92">
        <f t="shared" si="5"/>
        <v>27.7</v>
      </c>
      <c r="G92">
        <v>2017</v>
      </c>
      <c r="H92">
        <v>6</v>
      </c>
      <c r="I92" cm="1">
        <f t="array" ref="I92">_xlfn.XLOOKUP(1, (C:C=G92)*(D:D=H92),E:E)</f>
        <v>9.6020000000000003</v>
      </c>
      <c r="M92">
        <v>2022</v>
      </c>
      <c r="N92">
        <v>6</v>
      </c>
      <c r="O92">
        <v>21.53</v>
      </c>
    </row>
    <row r="93" spans="1:15" x14ac:dyDescent="0.25">
      <c r="A93" s="13">
        <v>45000</v>
      </c>
      <c r="B93" s="12"/>
      <c r="C93" s="12">
        <f t="shared" si="3"/>
        <v>2023</v>
      </c>
      <c r="D93" s="12">
        <f t="shared" si="4"/>
        <v>3</v>
      </c>
      <c r="E93">
        <f t="shared" si="5"/>
        <v>27.7</v>
      </c>
      <c r="G93">
        <v>2017</v>
      </c>
      <c r="H93">
        <v>5</v>
      </c>
      <c r="I93" cm="1">
        <f t="array" ref="I93">_xlfn.XLOOKUP(1, (C:C=G93)*(D:D=H93),E:E)</f>
        <v>9.6199999999999992</v>
      </c>
      <c r="M93">
        <v>2022</v>
      </c>
      <c r="N93">
        <v>5</v>
      </c>
      <c r="O93">
        <v>23.817499999999999</v>
      </c>
    </row>
    <row r="94" spans="1:15" x14ac:dyDescent="0.25">
      <c r="A94" s="13">
        <v>44995</v>
      </c>
      <c r="B94" s="12">
        <v>28.75</v>
      </c>
      <c r="C94" s="12">
        <f t="shared" si="3"/>
        <v>2023</v>
      </c>
      <c r="D94" s="12">
        <f t="shared" si="4"/>
        <v>3</v>
      </c>
      <c r="E94">
        <f t="shared" si="5"/>
        <v>27.7</v>
      </c>
      <c r="G94">
        <v>2017</v>
      </c>
      <c r="H94">
        <v>4</v>
      </c>
      <c r="I94" cm="1">
        <f t="array" ref="I94">_xlfn.XLOOKUP(1, (C:C=G94)*(D:D=H94),E:E)</f>
        <v>9.7066666666666688</v>
      </c>
      <c r="M94">
        <v>2022</v>
      </c>
      <c r="N94">
        <v>4</v>
      </c>
      <c r="O94">
        <v>17.489999999999998</v>
      </c>
    </row>
    <row r="95" spans="1:15" x14ac:dyDescent="0.25">
      <c r="A95" s="13">
        <v>44988</v>
      </c>
      <c r="B95" s="12">
        <v>29.59</v>
      </c>
      <c r="C95" s="12">
        <f t="shared" si="3"/>
        <v>2023</v>
      </c>
      <c r="D95" s="12">
        <f t="shared" si="4"/>
        <v>3</v>
      </c>
      <c r="E95">
        <f t="shared" si="5"/>
        <v>27.7</v>
      </c>
      <c r="G95">
        <v>2017</v>
      </c>
      <c r="H95">
        <v>3</v>
      </c>
      <c r="I95" cm="1">
        <f t="array" ref="I95">_xlfn.XLOOKUP(1, (C:C=G95)*(D:D=H95),E:E)</f>
        <v>9.5125000000000011</v>
      </c>
      <c r="M95">
        <v>2022</v>
      </c>
      <c r="N95">
        <v>3</v>
      </c>
      <c r="O95">
        <v>10.767499999999998</v>
      </c>
    </row>
    <row r="96" spans="1:15" x14ac:dyDescent="0.25">
      <c r="A96" s="13">
        <v>44986</v>
      </c>
      <c r="B96" s="12"/>
      <c r="C96" s="12">
        <f t="shared" si="3"/>
        <v>2023</v>
      </c>
      <c r="D96" s="12">
        <f t="shared" si="4"/>
        <v>3</v>
      </c>
      <c r="E96">
        <f t="shared" si="5"/>
        <v>27.7</v>
      </c>
      <c r="G96">
        <v>2017</v>
      </c>
      <c r="H96">
        <v>2</v>
      </c>
      <c r="I96" cm="1">
        <f t="array" ref="I96">_xlfn.XLOOKUP(1, (C:C=G96)*(D:D=H96),E:E)</f>
        <v>9.1950000000000003</v>
      </c>
      <c r="M96">
        <v>2022</v>
      </c>
      <c r="N96">
        <v>2</v>
      </c>
      <c r="O96">
        <v>8.5549999999999997</v>
      </c>
    </row>
    <row r="97" spans="1:15" x14ac:dyDescent="0.25">
      <c r="A97" s="13">
        <v>44981</v>
      </c>
      <c r="B97" s="12">
        <v>29.72</v>
      </c>
      <c r="C97" s="12">
        <f t="shared" si="3"/>
        <v>2023</v>
      </c>
      <c r="D97" s="12">
        <f t="shared" si="4"/>
        <v>2</v>
      </c>
      <c r="E97">
        <f t="shared" si="5"/>
        <v>29.834999999999997</v>
      </c>
      <c r="G97">
        <v>2017</v>
      </c>
      <c r="H97">
        <v>1</v>
      </c>
      <c r="I97" cm="1">
        <f t="array" ref="I97">_xlfn.XLOOKUP(1, (C:C=G97)*(D:D=H97),E:E)</f>
        <v>8.94</v>
      </c>
      <c r="M97">
        <v>2022</v>
      </c>
      <c r="N97">
        <v>1</v>
      </c>
      <c r="O97">
        <v>8.4450000000000003</v>
      </c>
    </row>
    <row r="98" spans="1:15" x14ac:dyDescent="0.25">
      <c r="A98" s="13">
        <v>44974</v>
      </c>
      <c r="B98" s="12">
        <v>29.83</v>
      </c>
      <c r="C98" s="12">
        <f t="shared" si="3"/>
        <v>2023</v>
      </c>
      <c r="D98" s="12">
        <f t="shared" si="4"/>
        <v>2</v>
      </c>
      <c r="E98">
        <f t="shared" si="5"/>
        <v>29.834999999999997</v>
      </c>
      <c r="G98">
        <v>2016</v>
      </c>
      <c r="H98">
        <v>12</v>
      </c>
      <c r="I98" cm="1">
        <f t="array" ref="I98">_xlfn.XLOOKUP(1, (C:C=G98)*(D:D=H98),E:E)</f>
        <v>8.6425000000000001</v>
      </c>
      <c r="M98">
        <v>2023</v>
      </c>
      <c r="N98">
        <v>12</v>
      </c>
      <c r="O98">
        <v>14.585000000000001</v>
      </c>
    </row>
    <row r="99" spans="1:15" x14ac:dyDescent="0.25">
      <c r="A99" s="13">
        <v>44967</v>
      </c>
      <c r="B99" s="12">
        <v>29.88</v>
      </c>
      <c r="C99" s="12">
        <f t="shared" si="3"/>
        <v>2023</v>
      </c>
      <c r="D99" s="12">
        <f t="shared" si="4"/>
        <v>2</v>
      </c>
      <c r="E99">
        <f t="shared" si="5"/>
        <v>29.834999999999997</v>
      </c>
      <c r="G99">
        <v>2016</v>
      </c>
      <c r="H99">
        <v>11</v>
      </c>
      <c r="I99" cm="1">
        <f t="array" ref="I99">_xlfn.XLOOKUP(1, (C:C=G99)*(D:D=H99),E:E)</f>
        <v>8.6</v>
      </c>
      <c r="M99">
        <v>2023</v>
      </c>
      <c r="N99">
        <v>11</v>
      </c>
      <c r="O99">
        <v>15.422000000000001</v>
      </c>
    </row>
    <row r="100" spans="1:15" x14ac:dyDescent="0.25">
      <c r="A100" s="13">
        <v>44960</v>
      </c>
      <c r="B100" s="12">
        <v>29.91</v>
      </c>
      <c r="C100" s="12">
        <f t="shared" si="3"/>
        <v>2023</v>
      </c>
      <c r="D100" s="12">
        <f t="shared" si="4"/>
        <v>2</v>
      </c>
      <c r="E100">
        <f t="shared" si="5"/>
        <v>29.834999999999997</v>
      </c>
      <c r="G100">
        <v>2016</v>
      </c>
      <c r="H100">
        <v>10</v>
      </c>
      <c r="I100" cm="1">
        <f t="array" ref="I100">_xlfn.XLOOKUP(1, (C:C=G100)*(D:D=H100),E:E)</f>
        <v>8.5749999999999993</v>
      </c>
      <c r="M100">
        <v>2023</v>
      </c>
      <c r="N100">
        <v>10</v>
      </c>
      <c r="O100">
        <v>16.565000000000001</v>
      </c>
    </row>
    <row r="101" spans="1:15" x14ac:dyDescent="0.25">
      <c r="A101" s="13">
        <v>44958</v>
      </c>
      <c r="B101" s="12"/>
      <c r="C101" s="12">
        <f t="shared" si="3"/>
        <v>2023</v>
      </c>
      <c r="D101" s="12">
        <f t="shared" si="4"/>
        <v>2</v>
      </c>
      <c r="E101">
        <f t="shared" si="5"/>
        <v>29.834999999999997</v>
      </c>
      <c r="G101">
        <v>2016</v>
      </c>
      <c r="H101">
        <v>9</v>
      </c>
      <c r="I101" cm="1">
        <f t="array" ref="I101">_xlfn.XLOOKUP(1, (C:C=G101)*(D:D=H101),E:E)</f>
        <v>8.76</v>
      </c>
      <c r="M101">
        <v>2023</v>
      </c>
      <c r="N101">
        <v>9</v>
      </c>
      <c r="O101">
        <v>18.04</v>
      </c>
    </row>
    <row r="102" spans="1:15" x14ac:dyDescent="0.25">
      <c r="A102" s="13">
        <v>44953</v>
      </c>
      <c r="B102" s="12">
        <v>29.91</v>
      </c>
      <c r="C102" s="12">
        <f t="shared" si="3"/>
        <v>2023</v>
      </c>
      <c r="D102" s="12">
        <f t="shared" si="4"/>
        <v>1</v>
      </c>
      <c r="E102">
        <f t="shared" si="5"/>
        <v>30.787499999999994</v>
      </c>
      <c r="G102">
        <v>2016</v>
      </c>
      <c r="H102">
        <v>8</v>
      </c>
      <c r="I102" cm="1">
        <f t="array" ref="I102">_xlfn.XLOOKUP(1, (C:C=G102)*(D:D=H102),E:E)</f>
        <v>9.0124999999999993</v>
      </c>
      <c r="M102">
        <v>2023</v>
      </c>
      <c r="N102">
        <v>8</v>
      </c>
      <c r="O102">
        <v>18.736000000000001</v>
      </c>
    </row>
    <row r="103" spans="1:15" x14ac:dyDescent="0.25">
      <c r="A103" s="13">
        <v>44946</v>
      </c>
      <c r="B103" s="12">
        <v>30.08</v>
      </c>
      <c r="C103" s="12">
        <f t="shared" si="3"/>
        <v>2023</v>
      </c>
      <c r="D103" s="12">
        <f t="shared" si="4"/>
        <v>1</v>
      </c>
      <c r="E103">
        <f t="shared" si="5"/>
        <v>30.787499999999994</v>
      </c>
      <c r="G103">
        <v>2016</v>
      </c>
      <c r="H103">
        <v>7</v>
      </c>
      <c r="I103" cm="1">
        <f t="array" ref="I103">_xlfn.XLOOKUP(1, (C:C=G103)*(D:D=H103),E:E)</f>
        <v>8.8500000000000014</v>
      </c>
      <c r="M103">
        <v>2023</v>
      </c>
      <c r="N103">
        <v>7</v>
      </c>
      <c r="O103">
        <v>19.204999999999998</v>
      </c>
    </row>
    <row r="104" spans="1:15" x14ac:dyDescent="0.25">
      <c r="A104" s="13">
        <v>44943</v>
      </c>
      <c r="B104" s="12"/>
      <c r="C104" s="12">
        <f t="shared" si="3"/>
        <v>2023</v>
      </c>
      <c r="D104" s="12">
        <f t="shared" si="4"/>
        <v>1</v>
      </c>
      <c r="E104">
        <f t="shared" si="5"/>
        <v>30.787499999999994</v>
      </c>
      <c r="G104">
        <v>2016</v>
      </c>
      <c r="H104">
        <v>6</v>
      </c>
      <c r="I104" cm="1">
        <f t="array" ref="I104">_xlfn.XLOOKUP(1, (C:C=G104)*(D:D=H104),E:E)</f>
        <v>8.84</v>
      </c>
      <c r="M104">
        <v>2023</v>
      </c>
      <c r="N104">
        <v>6</v>
      </c>
      <c r="O104">
        <v>23.604000000000003</v>
      </c>
    </row>
    <row r="105" spans="1:15" x14ac:dyDescent="0.25">
      <c r="A105" s="13">
        <v>44939</v>
      </c>
      <c r="B105" s="12">
        <v>31.15</v>
      </c>
      <c r="C105" s="12">
        <f t="shared" si="3"/>
        <v>2023</v>
      </c>
      <c r="D105" s="12">
        <f t="shared" si="4"/>
        <v>1</v>
      </c>
      <c r="E105">
        <f t="shared" si="5"/>
        <v>30.787499999999994</v>
      </c>
      <c r="G105">
        <v>2016</v>
      </c>
      <c r="H105">
        <v>5</v>
      </c>
      <c r="I105" cm="1">
        <f t="array" ref="I105">_xlfn.XLOOKUP(1, (C:C=G105)*(D:D=H105),E:E)</f>
        <v>8.6300000000000008</v>
      </c>
      <c r="M105">
        <v>2023</v>
      </c>
      <c r="N105">
        <v>5</v>
      </c>
      <c r="O105">
        <v>25.6875</v>
      </c>
    </row>
    <row r="106" spans="1:15" x14ac:dyDescent="0.25">
      <c r="A106" s="13">
        <v>44935</v>
      </c>
      <c r="B106" s="12">
        <v>32.01</v>
      </c>
      <c r="C106" s="12">
        <f t="shared" si="3"/>
        <v>2023</v>
      </c>
      <c r="D106" s="12">
        <f t="shared" si="4"/>
        <v>1</v>
      </c>
      <c r="E106">
        <f t="shared" si="5"/>
        <v>30.787499999999994</v>
      </c>
      <c r="G106">
        <v>2016</v>
      </c>
      <c r="H106">
        <v>4</v>
      </c>
      <c r="I106" cm="1">
        <f t="array" ref="I106">_xlfn.XLOOKUP(1, (C:C=G106)*(D:D=H106),E:E)</f>
        <v>8.5440000000000005</v>
      </c>
      <c r="M106">
        <v>2023</v>
      </c>
      <c r="N106">
        <v>4</v>
      </c>
      <c r="O106">
        <v>25.077500000000001</v>
      </c>
    </row>
    <row r="107" spans="1:15" x14ac:dyDescent="0.25">
      <c r="A107" s="13">
        <v>44925</v>
      </c>
      <c r="B107" s="12">
        <v>32.64</v>
      </c>
      <c r="C107" s="12">
        <f t="shared" si="3"/>
        <v>2022</v>
      </c>
      <c r="D107" s="12">
        <f t="shared" si="4"/>
        <v>12</v>
      </c>
      <c r="E107">
        <f t="shared" si="5"/>
        <v>32.785999999999994</v>
      </c>
      <c r="G107">
        <v>2016</v>
      </c>
      <c r="H107">
        <v>3</v>
      </c>
      <c r="I107" cm="1">
        <f t="array" ref="I107">_xlfn.XLOOKUP(1, (C:C=G107)*(D:D=H107),E:E)</f>
        <v>7.99</v>
      </c>
      <c r="M107">
        <v>2023</v>
      </c>
      <c r="N107">
        <v>3</v>
      </c>
      <c r="O107">
        <v>27.7</v>
      </c>
    </row>
    <row r="108" spans="1:15" x14ac:dyDescent="0.25">
      <c r="A108" s="13">
        <v>44924</v>
      </c>
      <c r="B108" s="12"/>
      <c r="C108" s="12">
        <f t="shared" si="3"/>
        <v>2022</v>
      </c>
      <c r="D108" s="12">
        <f t="shared" si="4"/>
        <v>12</v>
      </c>
      <c r="E108">
        <f t="shared" si="5"/>
        <v>32.785999999999994</v>
      </c>
      <c r="G108">
        <v>2016</v>
      </c>
      <c r="H108">
        <v>2</v>
      </c>
      <c r="I108" cm="1">
        <f t="array" ref="I108">_xlfn.XLOOKUP(1, (C:C=G108)*(D:D=H108),E:E)</f>
        <v>7.0749999999999993</v>
      </c>
      <c r="M108">
        <v>2023</v>
      </c>
      <c r="N108">
        <v>2</v>
      </c>
      <c r="O108">
        <v>29.834999999999997</v>
      </c>
    </row>
    <row r="109" spans="1:15" x14ac:dyDescent="0.25">
      <c r="A109" s="13">
        <v>44918</v>
      </c>
      <c r="B109" s="12">
        <v>32.67</v>
      </c>
      <c r="C109" s="12">
        <f t="shared" si="3"/>
        <v>2022</v>
      </c>
      <c r="D109" s="12">
        <f t="shared" si="4"/>
        <v>12</v>
      </c>
      <c r="E109">
        <f t="shared" si="5"/>
        <v>32.785999999999994</v>
      </c>
      <c r="G109">
        <v>2016</v>
      </c>
      <c r="H109">
        <v>1</v>
      </c>
      <c r="I109" cm="1">
        <f t="array" ref="I109">_xlfn.XLOOKUP(1, (C:C=G109)*(D:D=H109),E:E)</f>
        <v>6.6066666666666665</v>
      </c>
      <c r="M109">
        <v>2023</v>
      </c>
      <c r="N109">
        <v>1</v>
      </c>
      <c r="O109">
        <v>30.787499999999994</v>
      </c>
    </row>
    <row r="110" spans="1:15" x14ac:dyDescent="0.25">
      <c r="A110" s="13">
        <v>44911</v>
      </c>
      <c r="B110" s="12">
        <v>32.799999999999997</v>
      </c>
      <c r="C110" s="12">
        <f t="shared" si="3"/>
        <v>2022</v>
      </c>
      <c r="D110" s="12">
        <f t="shared" si="4"/>
        <v>12</v>
      </c>
      <c r="E110">
        <f t="shared" si="5"/>
        <v>32.785999999999994</v>
      </c>
      <c r="G110">
        <v>2015</v>
      </c>
      <c r="H110">
        <v>12</v>
      </c>
      <c r="I110" cm="1">
        <f t="array" ref="I110">_xlfn.XLOOKUP(1, (C:C=G110)*(D:D=H110),E:E)</f>
        <v>6.2049999999999992</v>
      </c>
      <c r="M110">
        <v>2024</v>
      </c>
      <c r="N110">
        <v>12</v>
      </c>
      <c r="O110">
        <v>8.6750000000000007</v>
      </c>
    </row>
    <row r="111" spans="1:15" x14ac:dyDescent="0.25">
      <c r="A111" s="13">
        <v>44910</v>
      </c>
      <c r="B111" s="12"/>
      <c r="C111" s="12">
        <f t="shared" si="3"/>
        <v>2022</v>
      </c>
      <c r="D111" s="12">
        <f t="shared" si="4"/>
        <v>12</v>
      </c>
      <c r="E111">
        <f t="shared" si="5"/>
        <v>32.785999999999994</v>
      </c>
      <c r="G111">
        <v>2015</v>
      </c>
      <c r="H111">
        <v>11</v>
      </c>
      <c r="I111" cm="1">
        <f t="array" ref="I111">_xlfn.XLOOKUP(1, (C:C=G111)*(D:D=H111),E:E)</f>
        <v>6.44</v>
      </c>
      <c r="M111">
        <v>2024</v>
      </c>
      <c r="N111">
        <v>11</v>
      </c>
      <c r="O111">
        <v>9.1266666666666669</v>
      </c>
    </row>
    <row r="112" spans="1:15" x14ac:dyDescent="0.25">
      <c r="A112" s="13">
        <v>44904</v>
      </c>
      <c r="B112" s="12">
        <v>32.909999999999997</v>
      </c>
      <c r="C112" s="12">
        <f t="shared" si="3"/>
        <v>2022</v>
      </c>
      <c r="D112" s="12">
        <f t="shared" si="4"/>
        <v>12</v>
      </c>
      <c r="E112">
        <f t="shared" si="5"/>
        <v>32.785999999999994</v>
      </c>
      <c r="G112">
        <v>2015</v>
      </c>
      <c r="H112">
        <v>10</v>
      </c>
      <c r="I112" cm="1">
        <f t="array" ref="I112">_xlfn.XLOOKUP(1, (C:C=G112)*(D:D=H112),E:E)</f>
        <v>6.7219999999999995</v>
      </c>
      <c r="M112">
        <v>2024</v>
      </c>
      <c r="N112">
        <v>10</v>
      </c>
      <c r="O112">
        <v>9.548</v>
      </c>
    </row>
    <row r="113" spans="1:15" x14ac:dyDescent="0.25">
      <c r="A113" s="13">
        <v>44897</v>
      </c>
      <c r="B113" s="12">
        <v>32.909999999999997</v>
      </c>
      <c r="C113" s="12">
        <f t="shared" si="3"/>
        <v>2022</v>
      </c>
      <c r="D113" s="12">
        <f t="shared" si="4"/>
        <v>12</v>
      </c>
      <c r="E113">
        <f t="shared" si="5"/>
        <v>32.785999999999994</v>
      </c>
      <c r="G113">
        <v>2015</v>
      </c>
      <c r="H113">
        <v>9</v>
      </c>
      <c r="I113" cm="1">
        <f t="array" ref="I113">_xlfn.XLOOKUP(1, (C:C=G113)*(D:D=H113),E:E)</f>
        <v>6.7866666666666662</v>
      </c>
      <c r="M113">
        <v>2024</v>
      </c>
      <c r="N113">
        <v>9</v>
      </c>
      <c r="O113">
        <v>10.323333333333332</v>
      </c>
    </row>
    <row r="114" spans="1:15" x14ac:dyDescent="0.25">
      <c r="A114" s="13">
        <v>44896</v>
      </c>
      <c r="B114" s="12"/>
      <c r="C114" s="12">
        <f t="shared" si="3"/>
        <v>2022</v>
      </c>
      <c r="D114" s="12">
        <f t="shared" si="4"/>
        <v>12</v>
      </c>
      <c r="E114">
        <f t="shared" si="5"/>
        <v>32.785999999999994</v>
      </c>
      <c r="G114">
        <v>2015</v>
      </c>
      <c r="H114">
        <v>8</v>
      </c>
      <c r="I114" cm="1">
        <f t="array" ref="I114">_xlfn.XLOOKUP(1, (C:C=G114)*(D:D=H114),E:E)</f>
        <v>6.4450000000000003</v>
      </c>
      <c r="M114">
        <v>2024</v>
      </c>
      <c r="N114">
        <v>8</v>
      </c>
      <c r="O114">
        <v>9.3320000000000007</v>
      </c>
    </row>
    <row r="115" spans="1:15" x14ac:dyDescent="0.25">
      <c r="A115" s="13">
        <v>44890</v>
      </c>
      <c r="B115" s="12">
        <v>32.92</v>
      </c>
      <c r="C115" s="12">
        <f t="shared" si="3"/>
        <v>2022</v>
      </c>
      <c r="D115" s="12">
        <f t="shared" si="4"/>
        <v>11</v>
      </c>
      <c r="E115">
        <f t="shared" si="5"/>
        <v>33.055</v>
      </c>
      <c r="G115">
        <v>2015</v>
      </c>
      <c r="H115">
        <v>7</v>
      </c>
      <c r="I115" cm="1">
        <f t="array" ref="I115">_xlfn.XLOOKUP(1, (C:C=G115)*(D:D=H115),E:E)</f>
        <v>6.2</v>
      </c>
      <c r="M115">
        <v>2024</v>
      </c>
      <c r="N115">
        <v>7</v>
      </c>
      <c r="O115">
        <v>9.8433333333333337</v>
      </c>
    </row>
    <row r="116" spans="1:15" x14ac:dyDescent="0.25">
      <c r="A116" s="13">
        <v>44883</v>
      </c>
      <c r="B116" s="12">
        <v>33.06</v>
      </c>
      <c r="C116" s="12">
        <f t="shared" si="3"/>
        <v>2022</v>
      </c>
      <c r="D116" s="12">
        <f t="shared" si="4"/>
        <v>11</v>
      </c>
      <c r="E116">
        <f t="shared" si="5"/>
        <v>33.055</v>
      </c>
      <c r="G116">
        <v>2015</v>
      </c>
      <c r="H116">
        <v>6</v>
      </c>
      <c r="I116" cm="1">
        <f t="array" ref="I116">_xlfn.XLOOKUP(1, (C:C=G116)*(D:D=H116),E:E)</f>
        <v>6.0775000000000006</v>
      </c>
      <c r="M116">
        <v>2024</v>
      </c>
      <c r="N116">
        <v>6</v>
      </c>
      <c r="O116">
        <v>9.4500000000000011</v>
      </c>
    </row>
    <row r="117" spans="1:15" x14ac:dyDescent="0.25">
      <c r="A117" s="13">
        <v>44880</v>
      </c>
      <c r="B117" s="12"/>
      <c r="C117" s="12">
        <f t="shared" si="3"/>
        <v>2022</v>
      </c>
      <c r="D117" s="12">
        <f t="shared" si="4"/>
        <v>11</v>
      </c>
      <c r="E117">
        <f t="shared" si="5"/>
        <v>33.055</v>
      </c>
      <c r="G117">
        <v>2015</v>
      </c>
      <c r="H117">
        <v>5</v>
      </c>
      <c r="I117" cm="1">
        <f t="array" ref="I117">_xlfn.XLOOKUP(1, (C:C=G117)*(D:D=H117),E:E)</f>
        <v>6.104000000000001</v>
      </c>
      <c r="M117">
        <v>2024</v>
      </c>
      <c r="N117">
        <v>5</v>
      </c>
      <c r="O117">
        <v>9.0919999999999987</v>
      </c>
    </row>
    <row r="118" spans="1:15" x14ac:dyDescent="0.25">
      <c r="A118" s="13">
        <v>44876</v>
      </c>
      <c r="B118" s="12">
        <v>33.14</v>
      </c>
      <c r="C118" s="12">
        <f t="shared" si="3"/>
        <v>2022</v>
      </c>
      <c r="D118" s="12">
        <f t="shared" si="4"/>
        <v>11</v>
      </c>
      <c r="E118">
        <f t="shared" si="5"/>
        <v>33.055</v>
      </c>
      <c r="G118">
        <v>2015</v>
      </c>
      <c r="H118">
        <v>4</v>
      </c>
      <c r="I118" cm="1">
        <f t="array" ref="I118">_xlfn.XLOOKUP(1, (C:C=G118)*(D:D=H118),E:E)</f>
        <v>6.39</v>
      </c>
      <c r="M118">
        <v>2024</v>
      </c>
      <c r="N118">
        <v>4</v>
      </c>
      <c r="O118">
        <v>10.035</v>
      </c>
    </row>
    <row r="119" spans="1:15" x14ac:dyDescent="0.25">
      <c r="A119" s="13">
        <v>44869</v>
      </c>
      <c r="B119" s="12">
        <v>33.1</v>
      </c>
      <c r="C119" s="12">
        <f t="shared" si="3"/>
        <v>2022</v>
      </c>
      <c r="D119" s="12">
        <f t="shared" si="4"/>
        <v>11</v>
      </c>
      <c r="E119">
        <f t="shared" si="5"/>
        <v>33.055</v>
      </c>
      <c r="G119">
        <v>2015</v>
      </c>
      <c r="H119">
        <v>3</v>
      </c>
      <c r="I119" cm="1">
        <f t="array" ref="I119">_xlfn.XLOOKUP(1, (C:C=G119)*(D:D=H119),E:E)</f>
        <v>6.8450000000000006</v>
      </c>
      <c r="M119">
        <v>2024</v>
      </c>
      <c r="N119">
        <v>3</v>
      </c>
      <c r="O119">
        <v>10.09</v>
      </c>
    </row>
    <row r="120" spans="1:15" x14ac:dyDescent="0.25">
      <c r="A120" s="13">
        <v>44866</v>
      </c>
      <c r="B120" s="12"/>
      <c r="C120" s="12">
        <f t="shared" si="3"/>
        <v>2022</v>
      </c>
      <c r="D120" s="12">
        <f t="shared" si="4"/>
        <v>11</v>
      </c>
      <c r="E120">
        <f t="shared" si="5"/>
        <v>33.055</v>
      </c>
      <c r="G120">
        <v>2015</v>
      </c>
      <c r="H120">
        <v>2</v>
      </c>
      <c r="I120" cm="1">
        <f t="array" ref="I120">_xlfn.XLOOKUP(1, (C:C=G120)*(D:D=H120),E:E)</f>
        <v>5.9050000000000002</v>
      </c>
      <c r="M120">
        <v>2024</v>
      </c>
      <c r="N120">
        <v>2</v>
      </c>
      <c r="O120">
        <v>10.474</v>
      </c>
    </row>
    <row r="121" spans="1:15" x14ac:dyDescent="0.25">
      <c r="A121" s="13">
        <v>44862</v>
      </c>
      <c r="B121" s="12">
        <v>33.049999999999997</v>
      </c>
      <c r="C121" s="12">
        <f t="shared" si="3"/>
        <v>2022</v>
      </c>
      <c r="D121" s="12">
        <f t="shared" si="4"/>
        <v>10</v>
      </c>
      <c r="E121">
        <f t="shared" si="5"/>
        <v>32.872500000000002</v>
      </c>
      <c r="G121">
        <v>2015</v>
      </c>
      <c r="H121">
        <v>1</v>
      </c>
      <c r="I121" cm="1">
        <f t="array" ref="I121">_xlfn.XLOOKUP(1, (C:C=G121)*(D:D=H121),E:E)</f>
        <v>5.7780000000000005</v>
      </c>
      <c r="M121">
        <v>2024</v>
      </c>
      <c r="N121">
        <v>1</v>
      </c>
      <c r="O121">
        <v>13.995000000000001</v>
      </c>
    </row>
    <row r="122" spans="1:15" x14ac:dyDescent="0.25">
      <c r="A122" s="13">
        <v>44855</v>
      </c>
      <c r="B122" s="12">
        <v>33.049999999999997</v>
      </c>
      <c r="C122" s="12">
        <f t="shared" si="3"/>
        <v>2022</v>
      </c>
      <c r="D122" s="12">
        <f t="shared" si="4"/>
        <v>10</v>
      </c>
      <c r="E122">
        <f t="shared" si="5"/>
        <v>32.872500000000002</v>
      </c>
      <c r="G122">
        <v>0</v>
      </c>
      <c r="H122">
        <v>0</v>
      </c>
    </row>
    <row r="123" spans="1:15" x14ac:dyDescent="0.25">
      <c r="A123" s="13">
        <v>44851</v>
      </c>
      <c r="B123" s="12"/>
      <c r="C123" s="12">
        <f t="shared" si="3"/>
        <v>2022</v>
      </c>
      <c r="D123" s="12">
        <f t="shared" si="4"/>
        <v>10</v>
      </c>
      <c r="E123">
        <f t="shared" si="5"/>
        <v>32.872500000000002</v>
      </c>
    </row>
    <row r="124" spans="1:15" x14ac:dyDescent="0.25">
      <c r="A124" s="13">
        <v>44848</v>
      </c>
      <c r="B124" s="12">
        <v>33.049999999999997</v>
      </c>
      <c r="C124" s="12">
        <f t="shared" si="3"/>
        <v>2022</v>
      </c>
      <c r="D124" s="12">
        <f t="shared" si="4"/>
        <v>10</v>
      </c>
      <c r="E124">
        <f t="shared" si="5"/>
        <v>32.872500000000002</v>
      </c>
    </row>
    <row r="125" spans="1:15" x14ac:dyDescent="0.25">
      <c r="A125" s="13">
        <v>44841</v>
      </c>
      <c r="B125" s="12">
        <v>32.340000000000003</v>
      </c>
      <c r="C125" s="12">
        <f t="shared" si="3"/>
        <v>2022</v>
      </c>
      <c r="D125" s="12">
        <f t="shared" si="4"/>
        <v>10</v>
      </c>
      <c r="E125">
        <f t="shared" si="5"/>
        <v>32.872500000000002</v>
      </c>
    </row>
    <row r="126" spans="1:15" x14ac:dyDescent="0.25">
      <c r="A126" s="13">
        <v>44834</v>
      </c>
      <c r="B126" s="12">
        <v>31.94</v>
      </c>
      <c r="C126" s="12">
        <f t="shared" si="3"/>
        <v>2022</v>
      </c>
      <c r="D126" s="12">
        <f t="shared" si="4"/>
        <v>9</v>
      </c>
      <c r="E126">
        <f t="shared" si="5"/>
        <v>32.475999999999999</v>
      </c>
    </row>
    <row r="127" spans="1:15" x14ac:dyDescent="0.25">
      <c r="A127" s="13">
        <v>44827</v>
      </c>
      <c r="B127" s="12">
        <v>31.95</v>
      </c>
      <c r="C127" s="12">
        <f t="shared" si="3"/>
        <v>2022</v>
      </c>
      <c r="D127" s="12">
        <f t="shared" si="4"/>
        <v>9</v>
      </c>
      <c r="E127">
        <f t="shared" si="5"/>
        <v>32.475999999999999</v>
      </c>
    </row>
    <row r="128" spans="1:15" x14ac:dyDescent="0.25">
      <c r="A128" s="13">
        <v>44820</v>
      </c>
      <c r="B128" s="12">
        <v>32.71</v>
      </c>
      <c r="C128" s="12">
        <f t="shared" si="3"/>
        <v>2022</v>
      </c>
      <c r="D128" s="12">
        <f t="shared" si="4"/>
        <v>9</v>
      </c>
      <c r="E128">
        <f t="shared" si="5"/>
        <v>32.475999999999999</v>
      </c>
    </row>
    <row r="129" spans="1:5" x14ac:dyDescent="0.25">
      <c r="A129" s="13">
        <v>44819</v>
      </c>
      <c r="B129" s="12"/>
      <c r="C129" s="12">
        <f t="shared" si="3"/>
        <v>2022</v>
      </c>
      <c r="D129" s="12">
        <f t="shared" si="4"/>
        <v>9</v>
      </c>
      <c r="E129">
        <f t="shared" si="5"/>
        <v>32.475999999999999</v>
      </c>
    </row>
    <row r="130" spans="1:5" x14ac:dyDescent="0.25">
      <c r="A130" s="13">
        <v>44813</v>
      </c>
      <c r="B130" s="12">
        <v>32.89</v>
      </c>
      <c r="C130" s="12">
        <f t="shared" si="3"/>
        <v>2022</v>
      </c>
      <c r="D130" s="12">
        <f t="shared" si="4"/>
        <v>9</v>
      </c>
      <c r="E130">
        <f t="shared" si="5"/>
        <v>32.475999999999999</v>
      </c>
    </row>
    <row r="131" spans="1:5" x14ac:dyDescent="0.25">
      <c r="A131" s="13">
        <v>44806</v>
      </c>
      <c r="B131" s="12">
        <v>32.89</v>
      </c>
      <c r="C131" s="12">
        <f t="shared" ref="C131:C194" si="6">YEAR(A131)</f>
        <v>2022</v>
      </c>
      <c r="D131" s="12">
        <f t="shared" ref="D131:D194" si="7">(MONTH(A131))</f>
        <v>9</v>
      </c>
      <c r="E131">
        <f t="shared" ref="E131:E194" si="8">AVERAGEIFS($B:$B, $C:$C, C131, $D:$D, D131)</f>
        <v>32.475999999999999</v>
      </c>
    </row>
    <row r="132" spans="1:5" x14ac:dyDescent="0.25">
      <c r="A132" s="13">
        <v>44799</v>
      </c>
      <c r="B132" s="12">
        <v>30.51</v>
      </c>
      <c r="C132" s="12">
        <f t="shared" si="6"/>
        <v>2022</v>
      </c>
      <c r="D132" s="12">
        <f t="shared" si="7"/>
        <v>8</v>
      </c>
      <c r="E132">
        <f t="shared" si="8"/>
        <v>29.024999999999999</v>
      </c>
    </row>
    <row r="133" spans="1:5" x14ac:dyDescent="0.25">
      <c r="A133" s="13">
        <v>44792</v>
      </c>
      <c r="B133" s="12">
        <v>29.44</v>
      </c>
      <c r="C133" s="12">
        <f t="shared" si="6"/>
        <v>2022</v>
      </c>
      <c r="D133" s="12">
        <f t="shared" si="7"/>
        <v>8</v>
      </c>
      <c r="E133">
        <f t="shared" si="8"/>
        <v>29.024999999999999</v>
      </c>
    </row>
    <row r="134" spans="1:5" x14ac:dyDescent="0.25">
      <c r="A134" s="13">
        <v>44788</v>
      </c>
      <c r="B134" s="12"/>
      <c r="C134" s="12">
        <f t="shared" si="6"/>
        <v>2022</v>
      </c>
      <c r="D134" s="12">
        <f t="shared" si="7"/>
        <v>8</v>
      </c>
      <c r="E134">
        <f t="shared" si="8"/>
        <v>29.024999999999999</v>
      </c>
    </row>
    <row r="135" spans="1:5" x14ac:dyDescent="0.25">
      <c r="A135" s="13">
        <v>44785</v>
      </c>
      <c r="B135" s="12">
        <v>28.43</v>
      </c>
      <c r="C135" s="12">
        <f t="shared" si="6"/>
        <v>2022</v>
      </c>
      <c r="D135" s="12">
        <f t="shared" si="7"/>
        <v>8</v>
      </c>
      <c r="E135">
        <f t="shared" si="8"/>
        <v>29.024999999999999</v>
      </c>
    </row>
    <row r="136" spans="1:5" x14ac:dyDescent="0.25">
      <c r="A136" s="13">
        <v>44778</v>
      </c>
      <c r="B136" s="12">
        <v>27.72</v>
      </c>
      <c r="C136" s="12">
        <f t="shared" si="6"/>
        <v>2022</v>
      </c>
      <c r="D136" s="12">
        <f t="shared" si="7"/>
        <v>8</v>
      </c>
      <c r="E136">
        <f t="shared" si="8"/>
        <v>29.024999999999999</v>
      </c>
    </row>
    <row r="137" spans="1:5" x14ac:dyDescent="0.25">
      <c r="A137" s="13">
        <v>44774</v>
      </c>
      <c r="B137" s="12"/>
      <c r="C137" s="12">
        <f t="shared" si="6"/>
        <v>2022</v>
      </c>
      <c r="D137" s="12">
        <f t="shared" si="7"/>
        <v>8</v>
      </c>
      <c r="E137">
        <f t="shared" si="8"/>
        <v>29.024999999999999</v>
      </c>
    </row>
    <row r="138" spans="1:5" x14ac:dyDescent="0.25">
      <c r="A138" s="13">
        <v>44771</v>
      </c>
      <c r="B138" s="12">
        <v>28.86</v>
      </c>
      <c r="C138" s="12">
        <f t="shared" si="6"/>
        <v>2022</v>
      </c>
      <c r="D138" s="12">
        <f t="shared" si="7"/>
        <v>7</v>
      </c>
      <c r="E138">
        <f t="shared" si="8"/>
        <v>28.880000000000003</v>
      </c>
    </row>
    <row r="139" spans="1:5" x14ac:dyDescent="0.25">
      <c r="A139" s="13">
        <v>44764</v>
      </c>
      <c r="B139" s="12">
        <v>31.5</v>
      </c>
      <c r="C139" s="12">
        <f t="shared" si="6"/>
        <v>2022</v>
      </c>
      <c r="D139" s="12">
        <f t="shared" si="7"/>
        <v>7</v>
      </c>
      <c r="E139">
        <f t="shared" si="8"/>
        <v>28.880000000000003</v>
      </c>
    </row>
    <row r="140" spans="1:5" x14ac:dyDescent="0.25">
      <c r="A140" s="13">
        <v>44757</v>
      </c>
      <c r="B140" s="12">
        <v>32.11</v>
      </c>
      <c r="C140" s="12">
        <f t="shared" si="6"/>
        <v>2022</v>
      </c>
      <c r="D140" s="12">
        <f t="shared" si="7"/>
        <v>7</v>
      </c>
      <c r="E140">
        <f t="shared" si="8"/>
        <v>28.880000000000003</v>
      </c>
    </row>
    <row r="141" spans="1:5" x14ac:dyDescent="0.25">
      <c r="A141" s="13">
        <v>44750</v>
      </c>
      <c r="B141" s="12">
        <v>28.08</v>
      </c>
      <c r="C141" s="12">
        <f t="shared" si="6"/>
        <v>2022</v>
      </c>
      <c r="D141" s="12">
        <f t="shared" si="7"/>
        <v>7</v>
      </c>
      <c r="E141">
        <f t="shared" si="8"/>
        <v>28.880000000000003</v>
      </c>
    </row>
    <row r="142" spans="1:5" x14ac:dyDescent="0.25">
      <c r="A142" s="13">
        <v>44743</v>
      </c>
      <c r="B142" s="12">
        <v>23.85</v>
      </c>
      <c r="C142" s="12">
        <f t="shared" si="6"/>
        <v>2022</v>
      </c>
      <c r="D142" s="12">
        <f t="shared" si="7"/>
        <v>7</v>
      </c>
      <c r="E142">
        <f t="shared" si="8"/>
        <v>28.880000000000003</v>
      </c>
    </row>
    <row r="143" spans="1:5" x14ac:dyDescent="0.25">
      <c r="A143" s="13">
        <v>44736</v>
      </c>
      <c r="B143" s="12">
        <v>20.73</v>
      </c>
      <c r="C143" s="12">
        <f t="shared" si="6"/>
        <v>2022</v>
      </c>
      <c r="D143" s="12">
        <f t="shared" si="7"/>
        <v>6</v>
      </c>
      <c r="E143">
        <f t="shared" si="8"/>
        <v>21.53</v>
      </c>
    </row>
    <row r="144" spans="1:5" x14ac:dyDescent="0.25">
      <c r="A144" s="13">
        <v>44729</v>
      </c>
      <c r="B144" s="12">
        <v>20.73</v>
      </c>
      <c r="C144" s="12">
        <f t="shared" si="6"/>
        <v>2022</v>
      </c>
      <c r="D144" s="12">
        <f t="shared" si="7"/>
        <v>6</v>
      </c>
      <c r="E144">
        <f t="shared" si="8"/>
        <v>21.53</v>
      </c>
    </row>
    <row r="145" spans="1:5" x14ac:dyDescent="0.25">
      <c r="A145" s="13">
        <v>44727</v>
      </c>
      <c r="B145" s="12"/>
      <c r="C145" s="12">
        <f t="shared" si="6"/>
        <v>2022</v>
      </c>
      <c r="D145" s="12">
        <f t="shared" si="7"/>
        <v>6</v>
      </c>
      <c r="E145">
        <f t="shared" si="8"/>
        <v>21.53</v>
      </c>
    </row>
    <row r="146" spans="1:5" x14ac:dyDescent="0.25">
      <c r="A146" s="13">
        <v>44722</v>
      </c>
      <c r="B146" s="12">
        <v>21.91</v>
      </c>
      <c r="C146" s="12">
        <f t="shared" si="6"/>
        <v>2022</v>
      </c>
      <c r="D146" s="12">
        <f t="shared" si="7"/>
        <v>6</v>
      </c>
      <c r="E146">
        <f t="shared" si="8"/>
        <v>21.53</v>
      </c>
    </row>
    <row r="147" spans="1:5" x14ac:dyDescent="0.25">
      <c r="A147" s="13">
        <v>44715</v>
      </c>
      <c r="B147" s="12">
        <v>22.75</v>
      </c>
      <c r="C147" s="12">
        <f t="shared" si="6"/>
        <v>2022</v>
      </c>
      <c r="D147" s="12">
        <f t="shared" si="7"/>
        <v>6</v>
      </c>
      <c r="E147">
        <f t="shared" si="8"/>
        <v>21.53</v>
      </c>
    </row>
    <row r="148" spans="1:5" x14ac:dyDescent="0.25">
      <c r="A148" s="13">
        <v>44713</v>
      </c>
      <c r="B148" s="12"/>
      <c r="C148" s="12">
        <f t="shared" si="6"/>
        <v>2022</v>
      </c>
      <c r="D148" s="12">
        <f t="shared" si="7"/>
        <v>6</v>
      </c>
      <c r="E148">
        <f t="shared" si="8"/>
        <v>21.53</v>
      </c>
    </row>
    <row r="149" spans="1:5" x14ac:dyDescent="0.25">
      <c r="A149" s="13">
        <v>44708</v>
      </c>
      <c r="B149" s="12">
        <v>23.65</v>
      </c>
      <c r="C149" s="12">
        <f t="shared" si="6"/>
        <v>2022</v>
      </c>
      <c r="D149" s="12">
        <f t="shared" si="7"/>
        <v>5</v>
      </c>
      <c r="E149">
        <f t="shared" si="8"/>
        <v>23.817499999999999</v>
      </c>
    </row>
    <row r="150" spans="1:5" x14ac:dyDescent="0.25">
      <c r="A150" s="13">
        <v>44701</v>
      </c>
      <c r="B150" s="12">
        <v>24.07</v>
      </c>
      <c r="C150" s="12">
        <f t="shared" si="6"/>
        <v>2022</v>
      </c>
      <c r="D150" s="12">
        <f t="shared" si="7"/>
        <v>5</v>
      </c>
      <c r="E150">
        <f t="shared" si="8"/>
        <v>23.817499999999999</v>
      </c>
    </row>
    <row r="151" spans="1:5" x14ac:dyDescent="0.25">
      <c r="A151" s="13">
        <v>44698</v>
      </c>
      <c r="B151" s="12"/>
      <c r="C151" s="12">
        <f t="shared" si="6"/>
        <v>2022</v>
      </c>
      <c r="D151" s="12">
        <f t="shared" si="7"/>
        <v>5</v>
      </c>
      <c r="E151">
        <f t="shared" si="8"/>
        <v>23.817499999999999</v>
      </c>
    </row>
    <row r="152" spans="1:5" x14ac:dyDescent="0.25">
      <c r="A152" s="13">
        <v>44694</v>
      </c>
      <c r="B152" s="12">
        <v>24.07</v>
      </c>
      <c r="C152" s="12">
        <f t="shared" si="6"/>
        <v>2022</v>
      </c>
      <c r="D152" s="12">
        <f t="shared" si="7"/>
        <v>5</v>
      </c>
      <c r="E152">
        <f t="shared" si="8"/>
        <v>23.817499999999999</v>
      </c>
    </row>
    <row r="153" spans="1:5" x14ac:dyDescent="0.25">
      <c r="A153" s="13">
        <v>44687</v>
      </c>
      <c r="B153" s="12">
        <v>23.48</v>
      </c>
      <c r="C153" s="12">
        <f t="shared" si="6"/>
        <v>2022</v>
      </c>
      <c r="D153" s="12">
        <f t="shared" si="7"/>
        <v>5</v>
      </c>
      <c r="E153">
        <f t="shared" si="8"/>
        <v>23.817499999999999</v>
      </c>
    </row>
    <row r="154" spans="1:5" x14ac:dyDescent="0.25">
      <c r="A154" s="13">
        <v>44685</v>
      </c>
      <c r="B154" s="12"/>
      <c r="C154" s="12">
        <f t="shared" si="6"/>
        <v>2022</v>
      </c>
      <c r="D154" s="12">
        <f t="shared" si="7"/>
        <v>5</v>
      </c>
      <c r="E154">
        <f t="shared" si="8"/>
        <v>23.817499999999999</v>
      </c>
    </row>
    <row r="155" spans="1:5" x14ac:dyDescent="0.25">
      <c r="A155" s="13">
        <v>44673</v>
      </c>
      <c r="B155" s="12">
        <v>23.21</v>
      </c>
      <c r="C155" s="12">
        <f t="shared" si="6"/>
        <v>2022</v>
      </c>
      <c r="D155" s="12">
        <f t="shared" si="7"/>
        <v>4</v>
      </c>
      <c r="E155">
        <f t="shared" si="8"/>
        <v>17.489999999999998</v>
      </c>
    </row>
    <row r="156" spans="1:5" x14ac:dyDescent="0.25">
      <c r="A156" s="13">
        <v>44669</v>
      </c>
      <c r="B156" s="12">
        <v>19.71</v>
      </c>
      <c r="C156" s="12">
        <f t="shared" si="6"/>
        <v>2022</v>
      </c>
      <c r="D156" s="12">
        <f t="shared" si="7"/>
        <v>4</v>
      </c>
      <c r="E156">
        <f t="shared" si="8"/>
        <v>17.489999999999998</v>
      </c>
    </row>
    <row r="157" spans="1:5" x14ac:dyDescent="0.25">
      <c r="A157" s="13">
        <v>44659</v>
      </c>
      <c r="B157" s="12">
        <v>14.12</v>
      </c>
      <c r="C157" s="12">
        <f t="shared" si="6"/>
        <v>2022</v>
      </c>
      <c r="D157" s="12">
        <f t="shared" si="7"/>
        <v>4</v>
      </c>
      <c r="E157">
        <f t="shared" si="8"/>
        <v>17.489999999999998</v>
      </c>
    </row>
    <row r="158" spans="1:5" x14ac:dyDescent="0.25">
      <c r="A158" s="13">
        <v>44652</v>
      </c>
      <c r="B158" s="12">
        <v>12.92</v>
      </c>
      <c r="C158" s="12">
        <f t="shared" si="6"/>
        <v>2022</v>
      </c>
      <c r="D158" s="12">
        <f t="shared" si="7"/>
        <v>4</v>
      </c>
      <c r="E158">
        <f t="shared" si="8"/>
        <v>17.489999999999998</v>
      </c>
    </row>
    <row r="159" spans="1:5" x14ac:dyDescent="0.25">
      <c r="A159" s="13">
        <v>44645</v>
      </c>
      <c r="B159" s="12">
        <v>12.1</v>
      </c>
      <c r="C159" s="12">
        <f t="shared" si="6"/>
        <v>2022</v>
      </c>
      <c r="D159" s="12">
        <f t="shared" si="7"/>
        <v>3</v>
      </c>
      <c r="E159">
        <f t="shared" si="8"/>
        <v>10.767499999999998</v>
      </c>
    </row>
    <row r="160" spans="1:5" x14ac:dyDescent="0.25">
      <c r="A160" s="13">
        <v>44638</v>
      </c>
      <c r="B160" s="12">
        <v>11.35</v>
      </c>
      <c r="C160" s="12">
        <f t="shared" si="6"/>
        <v>2022</v>
      </c>
      <c r="D160" s="12">
        <f t="shared" si="7"/>
        <v>3</v>
      </c>
      <c r="E160">
        <f t="shared" si="8"/>
        <v>10.767499999999998</v>
      </c>
    </row>
    <row r="161" spans="1:5" x14ac:dyDescent="0.25">
      <c r="A161" s="13">
        <v>44635</v>
      </c>
      <c r="B161" s="12"/>
      <c r="C161" s="12">
        <f t="shared" si="6"/>
        <v>2022</v>
      </c>
      <c r="D161" s="12">
        <f t="shared" si="7"/>
        <v>3</v>
      </c>
      <c r="E161">
        <f t="shared" si="8"/>
        <v>10.767499999999998</v>
      </c>
    </row>
    <row r="162" spans="1:5" x14ac:dyDescent="0.25">
      <c r="A162" s="13">
        <v>44629</v>
      </c>
      <c r="B162" s="12">
        <v>10.29</v>
      </c>
      <c r="C162" s="12">
        <f t="shared" si="6"/>
        <v>2022</v>
      </c>
      <c r="D162" s="12">
        <f t="shared" si="7"/>
        <v>3</v>
      </c>
      <c r="E162">
        <f t="shared" si="8"/>
        <v>10.767499999999998</v>
      </c>
    </row>
    <row r="163" spans="1:5" x14ac:dyDescent="0.25">
      <c r="A163" s="13">
        <v>44624</v>
      </c>
      <c r="B163" s="12">
        <v>9.33</v>
      </c>
      <c r="C163" s="12">
        <f t="shared" si="6"/>
        <v>2022</v>
      </c>
      <c r="D163" s="12">
        <f t="shared" si="7"/>
        <v>3</v>
      </c>
      <c r="E163">
        <f t="shared" si="8"/>
        <v>10.767499999999998</v>
      </c>
    </row>
    <row r="164" spans="1:5" x14ac:dyDescent="0.25">
      <c r="A164" s="13">
        <v>44622</v>
      </c>
      <c r="B164" s="12"/>
      <c r="C164" s="12">
        <f t="shared" si="6"/>
        <v>2022</v>
      </c>
      <c r="D164" s="12">
        <f t="shared" si="7"/>
        <v>3</v>
      </c>
      <c r="E164">
        <f t="shared" si="8"/>
        <v>10.767499999999998</v>
      </c>
    </row>
    <row r="165" spans="1:5" x14ac:dyDescent="0.25">
      <c r="A165" s="13">
        <v>44617</v>
      </c>
      <c r="B165" s="12">
        <v>8.61</v>
      </c>
      <c r="C165" s="12">
        <f t="shared" si="6"/>
        <v>2022</v>
      </c>
      <c r="D165" s="12">
        <f t="shared" si="7"/>
        <v>2</v>
      </c>
      <c r="E165">
        <f t="shared" si="8"/>
        <v>8.5549999999999997</v>
      </c>
    </row>
    <row r="166" spans="1:5" x14ac:dyDescent="0.25">
      <c r="A166" s="13">
        <v>44610</v>
      </c>
      <c r="B166" s="12">
        <v>8.5</v>
      </c>
      <c r="C166" s="12">
        <f t="shared" si="6"/>
        <v>2022</v>
      </c>
      <c r="D166" s="12">
        <f t="shared" si="7"/>
        <v>2</v>
      </c>
      <c r="E166">
        <f t="shared" si="8"/>
        <v>8.5549999999999997</v>
      </c>
    </row>
    <row r="167" spans="1:5" x14ac:dyDescent="0.25">
      <c r="A167" s="13">
        <v>44607</v>
      </c>
      <c r="B167" s="12"/>
      <c r="C167" s="12">
        <f t="shared" si="6"/>
        <v>2022</v>
      </c>
      <c r="D167" s="12">
        <f t="shared" si="7"/>
        <v>2</v>
      </c>
      <c r="E167">
        <f t="shared" si="8"/>
        <v>8.5549999999999997</v>
      </c>
    </row>
    <row r="168" spans="1:5" x14ac:dyDescent="0.25">
      <c r="A168" s="13">
        <v>44603</v>
      </c>
      <c r="B168" s="12">
        <v>8.52</v>
      </c>
      <c r="C168" s="12">
        <f t="shared" si="6"/>
        <v>2022</v>
      </c>
      <c r="D168" s="12">
        <f t="shared" si="7"/>
        <v>2</v>
      </c>
      <c r="E168">
        <f t="shared" si="8"/>
        <v>8.5549999999999997</v>
      </c>
    </row>
    <row r="169" spans="1:5" x14ac:dyDescent="0.25">
      <c r="A169" s="13">
        <v>44599</v>
      </c>
      <c r="B169" s="12">
        <v>8.59</v>
      </c>
      <c r="C169" s="12">
        <f t="shared" si="6"/>
        <v>2022</v>
      </c>
      <c r="D169" s="12">
        <f t="shared" si="7"/>
        <v>2</v>
      </c>
      <c r="E169">
        <f t="shared" si="8"/>
        <v>8.5549999999999997</v>
      </c>
    </row>
    <row r="170" spans="1:5" x14ac:dyDescent="0.25">
      <c r="A170" s="13">
        <v>44593</v>
      </c>
      <c r="B170" s="12"/>
      <c r="C170" s="12">
        <f t="shared" si="6"/>
        <v>2022</v>
      </c>
      <c r="D170" s="12">
        <f t="shared" si="7"/>
        <v>2</v>
      </c>
      <c r="E170">
        <f t="shared" si="8"/>
        <v>8.5549999999999997</v>
      </c>
    </row>
    <row r="171" spans="1:5" x14ac:dyDescent="0.25">
      <c r="A171" s="13">
        <v>44589</v>
      </c>
      <c r="B171" s="12">
        <v>8.6300000000000008</v>
      </c>
      <c r="C171" s="12">
        <f t="shared" si="6"/>
        <v>2022</v>
      </c>
      <c r="D171" s="12">
        <f t="shared" si="7"/>
        <v>1</v>
      </c>
      <c r="E171">
        <f t="shared" si="8"/>
        <v>8.4450000000000003</v>
      </c>
    </row>
    <row r="172" spans="1:5" x14ac:dyDescent="0.25">
      <c r="A172" s="13">
        <v>44579</v>
      </c>
      <c r="B172" s="12"/>
      <c r="C172" s="12">
        <f t="shared" si="6"/>
        <v>2022</v>
      </c>
      <c r="D172" s="12">
        <f t="shared" si="7"/>
        <v>1</v>
      </c>
      <c r="E172">
        <f t="shared" si="8"/>
        <v>8.4450000000000003</v>
      </c>
    </row>
    <row r="173" spans="1:5" x14ac:dyDescent="0.25">
      <c r="A173" s="13">
        <v>44568</v>
      </c>
      <c r="B173" s="12">
        <v>8.26</v>
      </c>
      <c r="C173" s="12">
        <f t="shared" si="6"/>
        <v>2022</v>
      </c>
      <c r="D173" s="12">
        <f t="shared" si="7"/>
        <v>1</v>
      </c>
      <c r="E173">
        <f t="shared" si="8"/>
        <v>8.4450000000000003</v>
      </c>
    </row>
    <row r="174" spans="1:5" x14ac:dyDescent="0.25">
      <c r="A174" s="13">
        <v>44564</v>
      </c>
      <c r="B174" s="12"/>
      <c r="C174" s="12">
        <f t="shared" si="6"/>
        <v>2022</v>
      </c>
      <c r="D174" s="12">
        <f t="shared" si="7"/>
        <v>1</v>
      </c>
      <c r="E174">
        <f t="shared" si="8"/>
        <v>8.4450000000000003</v>
      </c>
    </row>
    <row r="175" spans="1:5" x14ac:dyDescent="0.25">
      <c r="A175" s="13">
        <v>44561</v>
      </c>
      <c r="B175" s="12">
        <v>8.16</v>
      </c>
      <c r="C175" s="12">
        <f t="shared" si="6"/>
        <v>2021</v>
      </c>
      <c r="D175" s="12">
        <f t="shared" si="7"/>
        <v>12</v>
      </c>
      <c r="E175">
        <f t="shared" si="8"/>
        <v>7.4779999999999998</v>
      </c>
    </row>
    <row r="176" spans="1:5" x14ac:dyDescent="0.25">
      <c r="A176" s="13">
        <v>44554</v>
      </c>
      <c r="B176" s="12">
        <v>7.71</v>
      </c>
      <c r="C176" s="12">
        <f t="shared" si="6"/>
        <v>2021</v>
      </c>
      <c r="D176" s="12">
        <f t="shared" si="7"/>
        <v>12</v>
      </c>
      <c r="E176">
        <f t="shared" si="8"/>
        <v>7.4779999999999998</v>
      </c>
    </row>
    <row r="177" spans="1:5" x14ac:dyDescent="0.25">
      <c r="A177" s="13">
        <v>44547</v>
      </c>
      <c r="B177" s="12">
        <v>7.24</v>
      </c>
      <c r="C177" s="12">
        <f t="shared" si="6"/>
        <v>2021</v>
      </c>
      <c r="D177" s="12">
        <f t="shared" si="7"/>
        <v>12</v>
      </c>
      <c r="E177">
        <f t="shared" si="8"/>
        <v>7.4779999999999998</v>
      </c>
    </row>
    <row r="178" spans="1:5" x14ac:dyDescent="0.25">
      <c r="A178" s="13">
        <v>44545</v>
      </c>
      <c r="B178" s="12"/>
      <c r="C178" s="12">
        <f t="shared" si="6"/>
        <v>2021</v>
      </c>
      <c r="D178" s="12">
        <f t="shared" si="7"/>
        <v>12</v>
      </c>
      <c r="E178">
        <f t="shared" si="8"/>
        <v>7.4779999999999998</v>
      </c>
    </row>
    <row r="179" spans="1:5" x14ac:dyDescent="0.25">
      <c r="A179" s="13">
        <v>44540</v>
      </c>
      <c r="B179" s="12">
        <v>7.05</v>
      </c>
      <c r="C179" s="12">
        <f t="shared" si="6"/>
        <v>2021</v>
      </c>
      <c r="D179" s="12">
        <f t="shared" si="7"/>
        <v>12</v>
      </c>
      <c r="E179">
        <f t="shared" si="8"/>
        <v>7.4779999999999998</v>
      </c>
    </row>
    <row r="180" spans="1:5" x14ac:dyDescent="0.25">
      <c r="A180" s="13">
        <v>44533</v>
      </c>
      <c r="B180" s="12">
        <v>7.23</v>
      </c>
      <c r="C180" s="12">
        <f t="shared" si="6"/>
        <v>2021</v>
      </c>
      <c r="D180" s="12">
        <f t="shared" si="7"/>
        <v>12</v>
      </c>
      <c r="E180">
        <f t="shared" si="8"/>
        <v>7.4779999999999998</v>
      </c>
    </row>
    <row r="181" spans="1:5" x14ac:dyDescent="0.25">
      <c r="A181" s="13">
        <v>44531</v>
      </c>
      <c r="B181" s="12"/>
      <c r="C181" s="12">
        <f t="shared" si="6"/>
        <v>2021</v>
      </c>
      <c r="D181" s="12">
        <f t="shared" si="7"/>
        <v>12</v>
      </c>
      <c r="E181">
        <f t="shared" si="8"/>
        <v>7.4779999999999998</v>
      </c>
    </row>
    <row r="182" spans="1:5" x14ac:dyDescent="0.25">
      <c r="A182" s="13">
        <v>44526</v>
      </c>
      <c r="B182" s="12">
        <v>7.53</v>
      </c>
      <c r="C182" s="12">
        <f t="shared" si="6"/>
        <v>2021</v>
      </c>
      <c r="D182" s="12">
        <f t="shared" si="7"/>
        <v>11</v>
      </c>
      <c r="E182">
        <f t="shared" si="8"/>
        <v>7.8650000000000002</v>
      </c>
    </row>
    <row r="183" spans="1:5" x14ac:dyDescent="0.25">
      <c r="A183" s="13">
        <v>44519</v>
      </c>
      <c r="B183" s="12">
        <v>7.77</v>
      </c>
      <c r="C183" s="12">
        <f t="shared" si="6"/>
        <v>2021</v>
      </c>
      <c r="D183" s="12">
        <f t="shared" si="7"/>
        <v>11</v>
      </c>
      <c r="E183">
        <f t="shared" si="8"/>
        <v>7.8650000000000002</v>
      </c>
    </row>
    <row r="184" spans="1:5" x14ac:dyDescent="0.25">
      <c r="A184" s="13">
        <v>44512</v>
      </c>
      <c r="B184" s="12">
        <v>7.98</v>
      </c>
      <c r="C184" s="12">
        <f t="shared" si="6"/>
        <v>2021</v>
      </c>
      <c r="D184" s="12">
        <f t="shared" si="7"/>
        <v>11</v>
      </c>
      <c r="E184">
        <f t="shared" si="8"/>
        <v>7.8650000000000002</v>
      </c>
    </row>
    <row r="185" spans="1:5" x14ac:dyDescent="0.25">
      <c r="A185" s="13">
        <v>44505</v>
      </c>
      <c r="B185" s="12">
        <v>8.18</v>
      </c>
      <c r="C185" s="12">
        <f t="shared" si="6"/>
        <v>2021</v>
      </c>
      <c r="D185" s="12">
        <f t="shared" si="7"/>
        <v>11</v>
      </c>
      <c r="E185">
        <f t="shared" si="8"/>
        <v>7.8650000000000002</v>
      </c>
    </row>
    <row r="186" spans="1:5" x14ac:dyDescent="0.25">
      <c r="A186" s="13">
        <v>44501</v>
      </c>
      <c r="B186" s="12"/>
      <c r="C186" s="12">
        <f t="shared" si="6"/>
        <v>2021</v>
      </c>
      <c r="D186" s="12">
        <f t="shared" si="7"/>
        <v>11</v>
      </c>
      <c r="E186">
        <f t="shared" si="8"/>
        <v>7.8650000000000002</v>
      </c>
    </row>
    <row r="187" spans="1:5" x14ac:dyDescent="0.25">
      <c r="A187" s="13">
        <v>44498</v>
      </c>
      <c r="B187" s="12">
        <v>8.43</v>
      </c>
      <c r="C187" s="12">
        <f t="shared" si="6"/>
        <v>2021</v>
      </c>
      <c r="D187" s="12">
        <f t="shared" si="7"/>
        <v>10</v>
      </c>
      <c r="E187">
        <f t="shared" si="8"/>
        <v>7.742</v>
      </c>
    </row>
    <row r="188" spans="1:5" x14ac:dyDescent="0.25">
      <c r="A188" s="13">
        <v>44491</v>
      </c>
      <c r="B188" s="12">
        <v>8.39</v>
      </c>
      <c r="C188" s="12">
        <f t="shared" si="6"/>
        <v>2021</v>
      </c>
      <c r="D188" s="12">
        <f t="shared" si="7"/>
        <v>10</v>
      </c>
      <c r="E188">
        <f t="shared" si="8"/>
        <v>7.742</v>
      </c>
    </row>
    <row r="189" spans="1:5" x14ac:dyDescent="0.25">
      <c r="A189" s="13">
        <v>44484</v>
      </c>
      <c r="B189" s="12">
        <v>8.0399999999999991</v>
      </c>
      <c r="C189" s="12">
        <f t="shared" si="6"/>
        <v>2021</v>
      </c>
      <c r="D189" s="12">
        <f t="shared" si="7"/>
        <v>10</v>
      </c>
      <c r="E189">
        <f t="shared" si="8"/>
        <v>7.742</v>
      </c>
    </row>
    <row r="190" spans="1:5" x14ac:dyDescent="0.25">
      <c r="A190" s="13">
        <v>44477</v>
      </c>
      <c r="B190" s="12">
        <v>7.15</v>
      </c>
      <c r="C190" s="12">
        <f t="shared" si="6"/>
        <v>2021</v>
      </c>
      <c r="D190" s="12">
        <f t="shared" si="7"/>
        <v>10</v>
      </c>
      <c r="E190">
        <f t="shared" si="8"/>
        <v>7.742</v>
      </c>
    </row>
    <row r="191" spans="1:5" x14ac:dyDescent="0.25">
      <c r="A191" s="13">
        <v>44470</v>
      </c>
      <c r="B191" s="12">
        <v>6.7</v>
      </c>
      <c r="C191" s="12">
        <f t="shared" si="6"/>
        <v>2021</v>
      </c>
      <c r="D191" s="12">
        <f t="shared" si="7"/>
        <v>10</v>
      </c>
      <c r="E191">
        <f t="shared" si="8"/>
        <v>7.742</v>
      </c>
    </row>
    <row r="192" spans="1:5" x14ac:dyDescent="0.25">
      <c r="A192" s="13">
        <v>44463</v>
      </c>
      <c r="B192" s="12">
        <v>6.38</v>
      </c>
      <c r="C192" s="12">
        <f t="shared" si="6"/>
        <v>2021</v>
      </c>
      <c r="D192" s="12">
        <f t="shared" si="7"/>
        <v>9</v>
      </c>
      <c r="E192">
        <f t="shared" si="8"/>
        <v>6.0975000000000001</v>
      </c>
    </row>
    <row r="193" spans="1:5" x14ac:dyDescent="0.25">
      <c r="A193" s="13">
        <v>44456</v>
      </c>
      <c r="B193" s="12">
        <v>6.08</v>
      </c>
      <c r="C193" s="12">
        <f t="shared" si="6"/>
        <v>2021</v>
      </c>
      <c r="D193" s="12">
        <f t="shared" si="7"/>
        <v>9</v>
      </c>
      <c r="E193">
        <f t="shared" si="8"/>
        <v>6.0975000000000001</v>
      </c>
    </row>
    <row r="194" spans="1:5" x14ac:dyDescent="0.25">
      <c r="A194" s="13">
        <v>44454</v>
      </c>
      <c r="B194" s="12"/>
      <c r="C194" s="12">
        <f t="shared" si="6"/>
        <v>2021</v>
      </c>
      <c r="D194" s="12">
        <f t="shared" si="7"/>
        <v>9</v>
      </c>
      <c r="E194">
        <f t="shared" si="8"/>
        <v>6.0975000000000001</v>
      </c>
    </row>
    <row r="195" spans="1:5" x14ac:dyDescent="0.25">
      <c r="A195" s="13">
        <v>44449</v>
      </c>
      <c r="B195" s="12">
        <v>6.01</v>
      </c>
      <c r="C195" s="12">
        <f t="shared" ref="C195:C258" si="9">YEAR(A195)</f>
        <v>2021</v>
      </c>
      <c r="D195" s="12">
        <f t="shared" ref="D195:D258" si="10">(MONTH(A195))</f>
        <v>9</v>
      </c>
      <c r="E195">
        <f t="shared" ref="E195:E258" si="11">AVERAGEIFS($B:$B, $C:$C, C195, $D:$D, D195)</f>
        <v>6.0975000000000001</v>
      </c>
    </row>
    <row r="196" spans="1:5" x14ac:dyDescent="0.25">
      <c r="A196" s="13">
        <v>44442</v>
      </c>
      <c r="B196" s="12">
        <v>5.92</v>
      </c>
      <c r="C196" s="12">
        <f t="shared" si="9"/>
        <v>2021</v>
      </c>
      <c r="D196" s="12">
        <f t="shared" si="10"/>
        <v>9</v>
      </c>
      <c r="E196">
        <f t="shared" si="11"/>
        <v>6.0975000000000001</v>
      </c>
    </row>
    <row r="197" spans="1:5" x14ac:dyDescent="0.25">
      <c r="A197" s="13">
        <v>44440</v>
      </c>
      <c r="B197" s="12"/>
      <c r="C197" s="12">
        <f t="shared" si="9"/>
        <v>2021</v>
      </c>
      <c r="D197" s="12">
        <f t="shared" si="10"/>
        <v>9</v>
      </c>
      <c r="E197">
        <f t="shared" si="11"/>
        <v>6.0975000000000001</v>
      </c>
    </row>
    <row r="198" spans="1:5" x14ac:dyDescent="0.25">
      <c r="A198" s="13">
        <v>44435</v>
      </c>
      <c r="B198" s="12">
        <v>5.87</v>
      </c>
      <c r="C198" s="12">
        <f t="shared" si="9"/>
        <v>2021</v>
      </c>
      <c r="D198" s="12">
        <f t="shared" si="10"/>
        <v>8</v>
      </c>
      <c r="E198">
        <f t="shared" si="11"/>
        <v>5.4275000000000002</v>
      </c>
    </row>
    <row r="199" spans="1:5" x14ac:dyDescent="0.25">
      <c r="A199" s="13">
        <v>44428</v>
      </c>
      <c r="B199" s="12">
        <v>5.33</v>
      </c>
      <c r="C199" s="12">
        <f t="shared" si="9"/>
        <v>2021</v>
      </c>
      <c r="D199" s="12">
        <f t="shared" si="10"/>
        <v>8</v>
      </c>
      <c r="E199">
        <f t="shared" si="11"/>
        <v>5.4275000000000002</v>
      </c>
    </row>
    <row r="200" spans="1:5" x14ac:dyDescent="0.25">
      <c r="A200" s="13">
        <v>44421</v>
      </c>
      <c r="B200" s="12">
        <v>5.27</v>
      </c>
      <c r="C200" s="12">
        <f t="shared" si="9"/>
        <v>2021</v>
      </c>
      <c r="D200" s="12">
        <f t="shared" si="10"/>
        <v>8</v>
      </c>
      <c r="E200">
        <f t="shared" si="11"/>
        <v>5.4275000000000002</v>
      </c>
    </row>
    <row r="201" spans="1:5" x14ac:dyDescent="0.25">
      <c r="A201" s="13">
        <v>44414</v>
      </c>
      <c r="B201" s="12">
        <v>5.24</v>
      </c>
      <c r="C201" s="12">
        <f t="shared" si="9"/>
        <v>2021</v>
      </c>
      <c r="D201" s="12">
        <f t="shared" si="10"/>
        <v>8</v>
      </c>
      <c r="E201">
        <f t="shared" si="11"/>
        <v>5.4275000000000002</v>
      </c>
    </row>
    <row r="202" spans="1:5" x14ac:dyDescent="0.25">
      <c r="A202" s="13">
        <v>44410</v>
      </c>
      <c r="B202" s="12"/>
      <c r="C202" s="12">
        <f t="shared" si="9"/>
        <v>2021</v>
      </c>
      <c r="D202" s="12">
        <f t="shared" si="10"/>
        <v>8</v>
      </c>
      <c r="E202">
        <f t="shared" si="11"/>
        <v>5.4275000000000002</v>
      </c>
    </row>
    <row r="203" spans="1:5" x14ac:dyDescent="0.25">
      <c r="A203" s="13">
        <v>44407</v>
      </c>
      <c r="B203" s="12">
        <v>5.22</v>
      </c>
      <c r="C203" s="12">
        <f t="shared" si="9"/>
        <v>2021</v>
      </c>
      <c r="D203" s="12">
        <f t="shared" si="10"/>
        <v>7</v>
      </c>
      <c r="E203">
        <f t="shared" si="11"/>
        <v>5.2039999999999997</v>
      </c>
    </row>
    <row r="204" spans="1:5" x14ac:dyDescent="0.25">
      <c r="A204" s="13">
        <v>44399</v>
      </c>
      <c r="B204" s="12">
        <v>5.22</v>
      </c>
      <c r="C204" s="12">
        <f t="shared" si="9"/>
        <v>2021</v>
      </c>
      <c r="D204" s="12">
        <f t="shared" si="10"/>
        <v>7</v>
      </c>
      <c r="E204">
        <f t="shared" si="11"/>
        <v>5.2039999999999997</v>
      </c>
    </row>
    <row r="205" spans="1:5" x14ac:dyDescent="0.25">
      <c r="A205" s="13">
        <v>44393</v>
      </c>
      <c r="B205" s="12">
        <v>5.21</v>
      </c>
      <c r="C205" s="12">
        <f t="shared" si="9"/>
        <v>2021</v>
      </c>
      <c r="D205" s="12">
        <f t="shared" si="10"/>
        <v>7</v>
      </c>
      <c r="E205">
        <f t="shared" si="11"/>
        <v>5.2039999999999997</v>
      </c>
    </row>
    <row r="206" spans="1:5" x14ac:dyDescent="0.25">
      <c r="A206" s="13">
        <v>44392</v>
      </c>
      <c r="B206" s="12"/>
      <c r="C206" s="12">
        <f t="shared" si="9"/>
        <v>2021</v>
      </c>
      <c r="D206" s="12">
        <f t="shared" si="10"/>
        <v>7</v>
      </c>
      <c r="E206">
        <f t="shared" si="11"/>
        <v>5.2039999999999997</v>
      </c>
    </row>
    <row r="207" spans="1:5" x14ac:dyDescent="0.25">
      <c r="A207" s="13">
        <v>44386</v>
      </c>
      <c r="B207" s="12">
        <v>5.19</v>
      </c>
      <c r="C207" s="12">
        <f t="shared" si="9"/>
        <v>2021</v>
      </c>
      <c r="D207" s="12">
        <f t="shared" si="10"/>
        <v>7</v>
      </c>
      <c r="E207">
        <f t="shared" si="11"/>
        <v>5.2039999999999997</v>
      </c>
    </row>
    <row r="208" spans="1:5" x14ac:dyDescent="0.25">
      <c r="A208" s="13">
        <v>44379</v>
      </c>
      <c r="B208" s="12">
        <v>5.18</v>
      </c>
      <c r="C208" s="12">
        <f t="shared" si="9"/>
        <v>2021</v>
      </c>
      <c r="D208" s="12">
        <f t="shared" si="10"/>
        <v>7</v>
      </c>
      <c r="E208">
        <f t="shared" si="11"/>
        <v>5.2039999999999997</v>
      </c>
    </row>
    <row r="209" spans="1:5" x14ac:dyDescent="0.25">
      <c r="A209" s="13">
        <v>44378</v>
      </c>
      <c r="B209" s="12"/>
      <c r="C209" s="12">
        <f t="shared" si="9"/>
        <v>2021</v>
      </c>
      <c r="D209" s="12">
        <f t="shared" si="10"/>
        <v>7</v>
      </c>
      <c r="E209">
        <f t="shared" si="11"/>
        <v>5.2039999999999997</v>
      </c>
    </row>
    <row r="210" spans="1:5" x14ac:dyDescent="0.25">
      <c r="A210" s="13">
        <v>44365</v>
      </c>
      <c r="B210" s="12">
        <v>5.17</v>
      </c>
      <c r="C210" s="12">
        <f t="shared" si="9"/>
        <v>2021</v>
      </c>
      <c r="D210" s="12">
        <f t="shared" si="10"/>
        <v>6</v>
      </c>
      <c r="E210">
        <f t="shared" si="11"/>
        <v>5.16</v>
      </c>
    </row>
    <row r="211" spans="1:5" x14ac:dyDescent="0.25">
      <c r="A211" s="13">
        <v>44362</v>
      </c>
      <c r="B211" s="12"/>
      <c r="C211" s="12">
        <f t="shared" si="9"/>
        <v>2021</v>
      </c>
      <c r="D211" s="12">
        <f t="shared" si="10"/>
        <v>6</v>
      </c>
      <c r="E211">
        <f t="shared" si="11"/>
        <v>5.16</v>
      </c>
    </row>
    <row r="212" spans="1:5" x14ac:dyDescent="0.25">
      <c r="A212" s="13">
        <v>44358</v>
      </c>
      <c r="B212" s="12">
        <v>5.16</v>
      </c>
      <c r="C212" s="12">
        <f t="shared" si="9"/>
        <v>2021</v>
      </c>
      <c r="D212" s="12">
        <f t="shared" si="10"/>
        <v>6</v>
      </c>
      <c r="E212">
        <f t="shared" si="11"/>
        <v>5.16</v>
      </c>
    </row>
    <row r="213" spans="1:5" x14ac:dyDescent="0.25">
      <c r="A213" s="13">
        <v>44351</v>
      </c>
      <c r="B213" s="12">
        <v>5.15</v>
      </c>
      <c r="C213" s="12">
        <f t="shared" si="9"/>
        <v>2021</v>
      </c>
      <c r="D213" s="12">
        <f t="shared" si="10"/>
        <v>6</v>
      </c>
      <c r="E213">
        <f t="shared" si="11"/>
        <v>5.16</v>
      </c>
    </row>
    <row r="214" spans="1:5" x14ac:dyDescent="0.25">
      <c r="A214" s="13">
        <v>44350</v>
      </c>
      <c r="B214" s="12"/>
      <c r="C214" s="12">
        <f t="shared" si="9"/>
        <v>2021</v>
      </c>
      <c r="D214" s="12">
        <f t="shared" si="10"/>
        <v>6</v>
      </c>
      <c r="E214">
        <f t="shared" si="11"/>
        <v>5.16</v>
      </c>
    </row>
    <row r="215" spans="1:5" x14ac:dyDescent="0.25">
      <c r="A215" s="13">
        <v>44344</v>
      </c>
      <c r="B215" s="12">
        <v>5.13</v>
      </c>
      <c r="C215" s="12">
        <f t="shared" si="9"/>
        <v>2021</v>
      </c>
      <c r="D215" s="12">
        <f t="shared" si="10"/>
        <v>5</v>
      </c>
      <c r="E215">
        <f t="shared" si="11"/>
        <v>5.1225000000000005</v>
      </c>
    </row>
    <row r="216" spans="1:5" x14ac:dyDescent="0.25">
      <c r="A216" s="13">
        <v>44337</v>
      </c>
      <c r="B216" s="12">
        <v>5.12</v>
      </c>
      <c r="C216" s="12">
        <f t="shared" si="9"/>
        <v>2021</v>
      </c>
      <c r="D216" s="12">
        <f t="shared" si="10"/>
        <v>5</v>
      </c>
      <c r="E216">
        <f t="shared" si="11"/>
        <v>5.1225000000000005</v>
      </c>
    </row>
    <row r="217" spans="1:5" x14ac:dyDescent="0.25">
      <c r="A217" s="13">
        <v>44333</v>
      </c>
      <c r="B217" s="12"/>
      <c r="C217" s="12">
        <f t="shared" si="9"/>
        <v>2021</v>
      </c>
      <c r="D217" s="12">
        <f t="shared" si="10"/>
        <v>5</v>
      </c>
      <c r="E217">
        <f t="shared" si="11"/>
        <v>5.1225000000000005</v>
      </c>
    </row>
    <row r="218" spans="1:5" x14ac:dyDescent="0.25">
      <c r="A218" s="13">
        <v>44329</v>
      </c>
      <c r="B218" s="12">
        <v>5.12</v>
      </c>
      <c r="C218" s="12">
        <f t="shared" si="9"/>
        <v>2021</v>
      </c>
      <c r="D218" s="12">
        <f t="shared" si="10"/>
        <v>5</v>
      </c>
      <c r="E218">
        <f t="shared" si="11"/>
        <v>5.1225000000000005</v>
      </c>
    </row>
    <row r="219" spans="1:5" x14ac:dyDescent="0.25">
      <c r="A219" s="13">
        <v>44323</v>
      </c>
      <c r="B219" s="12">
        <v>5.12</v>
      </c>
      <c r="C219" s="12">
        <f t="shared" si="9"/>
        <v>2021</v>
      </c>
      <c r="D219" s="12">
        <f t="shared" si="10"/>
        <v>5</v>
      </c>
      <c r="E219">
        <f t="shared" si="11"/>
        <v>5.1225000000000005</v>
      </c>
    </row>
    <row r="220" spans="1:5" x14ac:dyDescent="0.25">
      <c r="A220" s="13">
        <v>44319</v>
      </c>
      <c r="B220" s="12"/>
      <c r="C220" s="12">
        <f t="shared" si="9"/>
        <v>2021</v>
      </c>
      <c r="D220" s="12">
        <f t="shared" si="10"/>
        <v>5</v>
      </c>
      <c r="E220">
        <f t="shared" si="11"/>
        <v>5.1225000000000005</v>
      </c>
    </row>
    <row r="221" spans="1:5" x14ac:dyDescent="0.25">
      <c r="A221" s="13">
        <v>44316</v>
      </c>
      <c r="B221" s="12">
        <v>5.1100000000000003</v>
      </c>
      <c r="C221" s="12">
        <f t="shared" si="9"/>
        <v>2021</v>
      </c>
      <c r="D221" s="12">
        <f t="shared" si="10"/>
        <v>4</v>
      </c>
      <c r="E221">
        <f t="shared" si="11"/>
        <v>5.0860000000000003</v>
      </c>
    </row>
    <row r="222" spans="1:5" x14ac:dyDescent="0.25">
      <c r="A222" s="13">
        <v>44309</v>
      </c>
      <c r="B222" s="12">
        <v>5.0999999999999996</v>
      </c>
      <c r="C222" s="12">
        <f t="shared" si="9"/>
        <v>2021</v>
      </c>
      <c r="D222" s="12">
        <f t="shared" si="10"/>
        <v>4</v>
      </c>
      <c r="E222">
        <f t="shared" si="11"/>
        <v>5.0860000000000003</v>
      </c>
    </row>
    <row r="223" spans="1:5" x14ac:dyDescent="0.25">
      <c r="A223" s="13">
        <v>44302</v>
      </c>
      <c r="B223" s="12">
        <v>5.09</v>
      </c>
      <c r="C223" s="12">
        <f t="shared" si="9"/>
        <v>2021</v>
      </c>
      <c r="D223" s="12">
        <f t="shared" si="10"/>
        <v>4</v>
      </c>
      <c r="E223">
        <f t="shared" si="11"/>
        <v>5.0860000000000003</v>
      </c>
    </row>
    <row r="224" spans="1:5" x14ac:dyDescent="0.25">
      <c r="A224" s="13">
        <v>44301</v>
      </c>
      <c r="B224" s="12"/>
      <c r="C224" s="12">
        <f t="shared" si="9"/>
        <v>2021</v>
      </c>
      <c r="D224" s="12">
        <f t="shared" si="10"/>
        <v>4</v>
      </c>
      <c r="E224">
        <f t="shared" si="11"/>
        <v>5.0860000000000003</v>
      </c>
    </row>
    <row r="225" spans="1:5" x14ac:dyDescent="0.25">
      <c r="A225" s="13">
        <v>44295</v>
      </c>
      <c r="B225" s="12">
        <v>5.08</v>
      </c>
      <c r="C225" s="12">
        <f t="shared" si="9"/>
        <v>2021</v>
      </c>
      <c r="D225" s="12">
        <f t="shared" si="10"/>
        <v>4</v>
      </c>
      <c r="E225">
        <f t="shared" si="11"/>
        <v>5.0860000000000003</v>
      </c>
    </row>
    <row r="226" spans="1:5" x14ac:dyDescent="0.25">
      <c r="A226" s="13">
        <v>44287</v>
      </c>
      <c r="B226" s="12">
        <v>5.05</v>
      </c>
      <c r="C226" s="12">
        <f t="shared" si="9"/>
        <v>2021</v>
      </c>
      <c r="D226" s="12">
        <f t="shared" si="10"/>
        <v>4</v>
      </c>
      <c r="E226">
        <f t="shared" si="11"/>
        <v>5.0860000000000003</v>
      </c>
    </row>
    <row r="227" spans="1:5" x14ac:dyDescent="0.25">
      <c r="A227" s="13">
        <v>44281</v>
      </c>
      <c r="B227" s="12">
        <v>5.04</v>
      </c>
      <c r="C227" s="12">
        <f t="shared" si="9"/>
        <v>2021</v>
      </c>
      <c r="D227" s="12">
        <f t="shared" si="10"/>
        <v>3</v>
      </c>
      <c r="E227">
        <f t="shared" si="11"/>
        <v>4.9975000000000005</v>
      </c>
    </row>
    <row r="228" spans="1:5" x14ac:dyDescent="0.25">
      <c r="A228" s="13">
        <v>44274</v>
      </c>
      <c r="B228" s="12">
        <v>5.01</v>
      </c>
      <c r="C228" s="12">
        <f t="shared" si="9"/>
        <v>2021</v>
      </c>
      <c r="D228" s="12">
        <f t="shared" si="10"/>
        <v>3</v>
      </c>
      <c r="E228">
        <f t="shared" si="11"/>
        <v>4.9975000000000005</v>
      </c>
    </row>
    <row r="229" spans="1:5" x14ac:dyDescent="0.25">
      <c r="A229" s="13">
        <v>44270</v>
      </c>
      <c r="B229" s="12"/>
      <c r="C229" s="12">
        <f t="shared" si="9"/>
        <v>2021</v>
      </c>
      <c r="D229" s="12">
        <f t="shared" si="10"/>
        <v>3</v>
      </c>
      <c r="E229">
        <f t="shared" si="11"/>
        <v>4.9975000000000005</v>
      </c>
    </row>
    <row r="230" spans="1:5" x14ac:dyDescent="0.25">
      <c r="A230" s="13">
        <v>44267</v>
      </c>
      <c r="B230" s="12">
        <v>4.99</v>
      </c>
      <c r="C230" s="12">
        <f t="shared" si="9"/>
        <v>2021</v>
      </c>
      <c r="D230" s="12">
        <f t="shared" si="10"/>
        <v>3</v>
      </c>
      <c r="E230">
        <f t="shared" si="11"/>
        <v>4.9975000000000005</v>
      </c>
    </row>
    <row r="231" spans="1:5" x14ac:dyDescent="0.25">
      <c r="A231" s="13">
        <v>44260</v>
      </c>
      <c r="B231" s="12">
        <v>4.95</v>
      </c>
      <c r="C231" s="12">
        <f t="shared" si="9"/>
        <v>2021</v>
      </c>
      <c r="D231" s="12">
        <f t="shared" si="10"/>
        <v>3</v>
      </c>
      <c r="E231">
        <f t="shared" si="11"/>
        <v>4.9975000000000005</v>
      </c>
    </row>
    <row r="232" spans="1:5" x14ac:dyDescent="0.25">
      <c r="A232" s="13">
        <v>44256</v>
      </c>
      <c r="B232" s="12"/>
      <c r="C232" s="12">
        <f t="shared" si="9"/>
        <v>2021</v>
      </c>
      <c r="D232" s="12">
        <f t="shared" si="10"/>
        <v>3</v>
      </c>
      <c r="E232">
        <f t="shared" si="11"/>
        <v>4.9975000000000005</v>
      </c>
    </row>
    <row r="233" spans="1:5" x14ac:dyDescent="0.25">
      <c r="A233" s="13">
        <v>44252</v>
      </c>
      <c r="B233" s="12">
        <v>4.9000000000000004</v>
      </c>
      <c r="C233" s="12">
        <f t="shared" si="9"/>
        <v>2021</v>
      </c>
      <c r="D233" s="12">
        <f t="shared" si="10"/>
        <v>2</v>
      </c>
      <c r="E233">
        <f t="shared" si="11"/>
        <v>4.7850000000000001</v>
      </c>
    </row>
    <row r="234" spans="1:5" x14ac:dyDescent="0.25">
      <c r="A234" s="13">
        <v>44246</v>
      </c>
      <c r="B234" s="12">
        <v>4.82</v>
      </c>
      <c r="C234" s="12">
        <f t="shared" si="9"/>
        <v>2021</v>
      </c>
      <c r="D234" s="12">
        <f t="shared" si="10"/>
        <v>2</v>
      </c>
      <c r="E234">
        <f t="shared" si="11"/>
        <v>4.7850000000000001</v>
      </c>
    </row>
    <row r="235" spans="1:5" x14ac:dyDescent="0.25">
      <c r="A235" s="13">
        <v>44239</v>
      </c>
      <c r="B235" s="12">
        <v>4.72</v>
      </c>
      <c r="C235" s="12">
        <f t="shared" si="9"/>
        <v>2021</v>
      </c>
      <c r="D235" s="12">
        <f t="shared" si="10"/>
        <v>2</v>
      </c>
      <c r="E235">
        <f t="shared" si="11"/>
        <v>4.7850000000000001</v>
      </c>
    </row>
    <row r="236" spans="1:5" x14ac:dyDescent="0.25">
      <c r="A236" s="13">
        <v>44232</v>
      </c>
      <c r="B236" s="12">
        <v>4.7</v>
      </c>
      <c r="C236" s="12">
        <f t="shared" si="9"/>
        <v>2021</v>
      </c>
      <c r="D236" s="12">
        <f t="shared" si="10"/>
        <v>2</v>
      </c>
      <c r="E236">
        <f t="shared" si="11"/>
        <v>4.7850000000000001</v>
      </c>
    </row>
    <row r="237" spans="1:5" x14ac:dyDescent="0.25">
      <c r="A237" s="13">
        <v>44228</v>
      </c>
      <c r="B237" s="12"/>
      <c r="C237" s="12">
        <f t="shared" si="9"/>
        <v>2021</v>
      </c>
      <c r="D237" s="12">
        <f t="shared" si="10"/>
        <v>2</v>
      </c>
      <c r="E237">
        <f t="shared" si="11"/>
        <v>4.7850000000000001</v>
      </c>
    </row>
    <row r="238" spans="1:5" x14ac:dyDescent="0.25">
      <c r="A238" s="13">
        <v>44225</v>
      </c>
      <c r="B238" s="12">
        <v>4.6900000000000004</v>
      </c>
      <c r="C238" s="12">
        <f t="shared" si="9"/>
        <v>2021</v>
      </c>
      <c r="D238" s="12">
        <f t="shared" si="10"/>
        <v>1</v>
      </c>
      <c r="E238">
        <f t="shared" si="11"/>
        <v>4.6980000000000004</v>
      </c>
    </row>
    <row r="239" spans="1:5" x14ac:dyDescent="0.25">
      <c r="A239" s="13">
        <v>44218</v>
      </c>
      <c r="B239" s="12">
        <v>4.7</v>
      </c>
      <c r="C239" s="12">
        <f t="shared" si="9"/>
        <v>2021</v>
      </c>
      <c r="D239" s="12">
        <f t="shared" si="10"/>
        <v>1</v>
      </c>
      <c r="E239">
        <f t="shared" si="11"/>
        <v>4.6980000000000004</v>
      </c>
    </row>
    <row r="240" spans="1:5" x14ac:dyDescent="0.25">
      <c r="A240" s="13">
        <v>44211</v>
      </c>
      <c r="B240" s="12">
        <v>4.7</v>
      </c>
      <c r="C240" s="12">
        <f t="shared" si="9"/>
        <v>2021</v>
      </c>
      <c r="D240" s="12">
        <f t="shared" si="10"/>
        <v>1</v>
      </c>
      <c r="E240">
        <f t="shared" si="11"/>
        <v>4.6980000000000004</v>
      </c>
    </row>
    <row r="241" spans="1:5" x14ac:dyDescent="0.25">
      <c r="A241" s="13">
        <v>44204</v>
      </c>
      <c r="B241" s="12">
        <v>4.71</v>
      </c>
      <c r="C241" s="12">
        <f t="shared" si="9"/>
        <v>2021</v>
      </c>
      <c r="D241" s="12">
        <f t="shared" si="10"/>
        <v>1</v>
      </c>
      <c r="E241">
        <f t="shared" si="11"/>
        <v>4.6980000000000004</v>
      </c>
    </row>
    <row r="242" spans="1:5" x14ac:dyDescent="0.25">
      <c r="A242" s="13">
        <v>44197</v>
      </c>
      <c r="B242" s="12">
        <v>4.6900000000000004</v>
      </c>
      <c r="C242" s="12">
        <f t="shared" si="9"/>
        <v>2021</v>
      </c>
      <c r="D242" s="12">
        <f t="shared" si="10"/>
        <v>1</v>
      </c>
      <c r="E242">
        <f t="shared" si="11"/>
        <v>4.6980000000000004</v>
      </c>
    </row>
    <row r="243" spans="1:5" x14ac:dyDescent="0.25">
      <c r="A243" s="13">
        <v>44189</v>
      </c>
      <c r="B243" s="12">
        <v>4.67</v>
      </c>
      <c r="C243" s="12">
        <f t="shared" si="9"/>
        <v>2020</v>
      </c>
      <c r="D243" s="12">
        <f t="shared" si="10"/>
        <v>12</v>
      </c>
      <c r="E243">
        <f t="shared" si="11"/>
        <v>4.665</v>
      </c>
    </row>
    <row r="244" spans="1:5" x14ac:dyDescent="0.25">
      <c r="A244" s="13">
        <v>44183</v>
      </c>
      <c r="B244" s="12">
        <v>4.67</v>
      </c>
      <c r="C244" s="12">
        <f t="shared" si="9"/>
        <v>2020</v>
      </c>
      <c r="D244" s="12">
        <f t="shared" si="10"/>
        <v>12</v>
      </c>
      <c r="E244">
        <f t="shared" si="11"/>
        <v>4.665</v>
      </c>
    </row>
    <row r="245" spans="1:5" x14ac:dyDescent="0.25">
      <c r="A245" s="13">
        <v>44176</v>
      </c>
      <c r="B245" s="12">
        <v>4.67</v>
      </c>
      <c r="C245" s="12">
        <f t="shared" si="9"/>
        <v>2020</v>
      </c>
      <c r="D245" s="12">
        <f t="shared" si="10"/>
        <v>12</v>
      </c>
      <c r="E245">
        <f t="shared" si="11"/>
        <v>4.665</v>
      </c>
    </row>
    <row r="246" spans="1:5" x14ac:dyDescent="0.25">
      <c r="A246" s="13">
        <v>44169</v>
      </c>
      <c r="B246" s="12">
        <v>4.6500000000000004</v>
      </c>
      <c r="C246" s="12">
        <f t="shared" si="9"/>
        <v>2020</v>
      </c>
      <c r="D246" s="12">
        <f t="shared" si="10"/>
        <v>12</v>
      </c>
      <c r="E246">
        <f t="shared" si="11"/>
        <v>4.665</v>
      </c>
    </row>
    <row r="247" spans="1:5" x14ac:dyDescent="0.25">
      <c r="A247" s="13">
        <v>44162</v>
      </c>
      <c r="B247" s="12">
        <v>4.6399999999999997</v>
      </c>
      <c r="C247" s="12">
        <f t="shared" si="9"/>
        <v>2020</v>
      </c>
      <c r="D247" s="12">
        <f t="shared" si="10"/>
        <v>11</v>
      </c>
      <c r="E247">
        <f t="shared" si="11"/>
        <v>4.6050000000000004</v>
      </c>
    </row>
    <row r="248" spans="1:5" x14ac:dyDescent="0.25">
      <c r="A248" s="13">
        <v>44155</v>
      </c>
      <c r="B248" s="12">
        <v>4.6100000000000003</v>
      </c>
      <c r="C248" s="12">
        <f t="shared" si="9"/>
        <v>2020</v>
      </c>
      <c r="D248" s="12">
        <f t="shared" si="10"/>
        <v>11</v>
      </c>
      <c r="E248">
        <f t="shared" si="11"/>
        <v>4.6050000000000004</v>
      </c>
    </row>
    <row r="249" spans="1:5" x14ac:dyDescent="0.25">
      <c r="A249" s="13">
        <v>44151</v>
      </c>
      <c r="B249" s="12"/>
      <c r="C249" s="12">
        <f t="shared" si="9"/>
        <v>2020</v>
      </c>
      <c r="D249" s="12">
        <f t="shared" si="10"/>
        <v>11</v>
      </c>
      <c r="E249">
        <f t="shared" si="11"/>
        <v>4.6050000000000004</v>
      </c>
    </row>
    <row r="250" spans="1:5" x14ac:dyDescent="0.25">
      <c r="A250" s="13">
        <v>44148</v>
      </c>
      <c r="B250" s="12">
        <v>4.5999999999999996</v>
      </c>
      <c r="C250" s="12">
        <f t="shared" si="9"/>
        <v>2020</v>
      </c>
      <c r="D250" s="12">
        <f t="shared" si="10"/>
        <v>11</v>
      </c>
      <c r="E250">
        <f t="shared" si="11"/>
        <v>4.6050000000000004</v>
      </c>
    </row>
    <row r="251" spans="1:5" x14ac:dyDescent="0.25">
      <c r="A251" s="13">
        <v>44141</v>
      </c>
      <c r="B251" s="12">
        <v>4.57</v>
      </c>
      <c r="C251" s="12">
        <f t="shared" si="9"/>
        <v>2020</v>
      </c>
      <c r="D251" s="12">
        <f t="shared" si="10"/>
        <v>11</v>
      </c>
      <c r="E251">
        <f t="shared" si="11"/>
        <v>4.6050000000000004</v>
      </c>
    </row>
    <row r="252" spans="1:5" x14ac:dyDescent="0.25">
      <c r="A252" s="13">
        <v>44133</v>
      </c>
      <c r="B252" s="12">
        <v>4.57</v>
      </c>
      <c r="C252" s="12">
        <f t="shared" si="9"/>
        <v>2020</v>
      </c>
      <c r="D252" s="12">
        <f t="shared" si="10"/>
        <v>10</v>
      </c>
      <c r="E252">
        <f t="shared" si="11"/>
        <v>4.5766666666666671</v>
      </c>
    </row>
    <row r="253" spans="1:5" x14ac:dyDescent="0.25">
      <c r="A253" s="13">
        <v>44127</v>
      </c>
      <c r="B253" s="12" t="s">
        <v>144</v>
      </c>
      <c r="C253" s="12">
        <f t="shared" si="9"/>
        <v>2020</v>
      </c>
      <c r="D253" s="12">
        <f t="shared" si="10"/>
        <v>10</v>
      </c>
      <c r="E253">
        <f t="shared" si="11"/>
        <v>4.5766666666666671</v>
      </c>
    </row>
    <row r="254" spans="1:5" x14ac:dyDescent="0.25">
      <c r="A254" s="13">
        <v>44120</v>
      </c>
      <c r="B254" s="12">
        <v>4.59</v>
      </c>
      <c r="C254" s="12">
        <f t="shared" si="9"/>
        <v>2020</v>
      </c>
      <c r="D254" s="12">
        <f t="shared" si="10"/>
        <v>10</v>
      </c>
      <c r="E254">
        <f t="shared" si="11"/>
        <v>4.5766666666666671</v>
      </c>
    </row>
    <row r="255" spans="1:5" x14ac:dyDescent="0.25">
      <c r="A255" s="13">
        <v>44113</v>
      </c>
      <c r="B255" s="12">
        <v>4.57</v>
      </c>
      <c r="C255" s="12">
        <f t="shared" si="9"/>
        <v>2020</v>
      </c>
      <c r="D255" s="12">
        <f t="shared" si="10"/>
        <v>10</v>
      </c>
      <c r="E255">
        <f t="shared" si="11"/>
        <v>4.5766666666666671</v>
      </c>
    </row>
    <row r="256" spans="1:5" x14ac:dyDescent="0.25">
      <c r="A256" s="13">
        <v>44106</v>
      </c>
      <c r="B256" s="12" t="s">
        <v>144</v>
      </c>
      <c r="C256" s="12">
        <f t="shared" si="9"/>
        <v>2020</v>
      </c>
      <c r="D256" s="12">
        <f t="shared" si="10"/>
        <v>10</v>
      </c>
      <c r="E256">
        <f t="shared" si="11"/>
        <v>4.5766666666666671</v>
      </c>
    </row>
    <row r="257" spans="1:5" x14ac:dyDescent="0.25">
      <c r="A257" s="13">
        <v>44099</v>
      </c>
      <c r="B257" s="12">
        <v>4.51</v>
      </c>
      <c r="C257" s="12">
        <f t="shared" si="9"/>
        <v>2020</v>
      </c>
      <c r="D257" s="12">
        <f t="shared" si="10"/>
        <v>9</v>
      </c>
      <c r="E257">
        <f t="shared" si="11"/>
        <v>4.5149999999999997</v>
      </c>
    </row>
    <row r="258" spans="1:5" x14ac:dyDescent="0.25">
      <c r="A258" s="13">
        <v>44092</v>
      </c>
      <c r="B258" s="12">
        <v>4.51</v>
      </c>
      <c r="C258" s="12">
        <f t="shared" si="9"/>
        <v>2020</v>
      </c>
      <c r="D258" s="12">
        <f t="shared" si="10"/>
        <v>9</v>
      </c>
      <c r="E258">
        <f t="shared" si="11"/>
        <v>4.5149999999999997</v>
      </c>
    </row>
    <row r="259" spans="1:5" x14ac:dyDescent="0.25">
      <c r="A259" s="13">
        <v>44089</v>
      </c>
      <c r="B259" s="12"/>
      <c r="C259" s="12">
        <f t="shared" ref="C259:C322" si="12">YEAR(A259)</f>
        <v>2020</v>
      </c>
      <c r="D259" s="12">
        <f t="shared" ref="D259:D322" si="13">(MONTH(A259))</f>
        <v>9</v>
      </c>
      <c r="E259">
        <f t="shared" ref="E259:E322" si="14">AVERAGEIFS($B:$B, $C:$C, C259, $D:$D, D259)</f>
        <v>4.5149999999999997</v>
      </c>
    </row>
    <row r="260" spans="1:5" x14ac:dyDescent="0.25">
      <c r="A260" s="13">
        <v>44085</v>
      </c>
      <c r="B260" s="12">
        <v>4.5199999999999996</v>
      </c>
      <c r="C260" s="12">
        <f t="shared" si="12"/>
        <v>2020</v>
      </c>
      <c r="D260" s="12">
        <f t="shared" si="13"/>
        <v>9</v>
      </c>
      <c r="E260">
        <f t="shared" si="14"/>
        <v>4.5149999999999997</v>
      </c>
    </row>
    <row r="261" spans="1:5" x14ac:dyDescent="0.25">
      <c r="A261" s="13">
        <v>44078</v>
      </c>
      <c r="B261" s="12">
        <v>4.5199999999999996</v>
      </c>
      <c r="C261" s="12">
        <f t="shared" si="12"/>
        <v>2020</v>
      </c>
      <c r="D261" s="12">
        <f t="shared" si="13"/>
        <v>9</v>
      </c>
      <c r="E261">
        <f t="shared" si="14"/>
        <v>4.5149999999999997</v>
      </c>
    </row>
    <row r="262" spans="1:5" x14ac:dyDescent="0.25">
      <c r="A262" s="13">
        <v>44071</v>
      </c>
      <c r="B262" s="12">
        <v>4.5599999999999996</v>
      </c>
      <c r="C262" s="12">
        <f t="shared" si="12"/>
        <v>2020</v>
      </c>
      <c r="D262" s="12">
        <f t="shared" si="13"/>
        <v>8</v>
      </c>
      <c r="E262">
        <f t="shared" si="14"/>
        <v>4.6174999999999997</v>
      </c>
    </row>
    <row r="263" spans="1:5" x14ac:dyDescent="0.25">
      <c r="A263" s="13">
        <v>44064</v>
      </c>
      <c r="B263" s="12">
        <v>4.59</v>
      </c>
      <c r="C263" s="12">
        <f t="shared" si="12"/>
        <v>2020</v>
      </c>
      <c r="D263" s="12">
        <f t="shared" si="13"/>
        <v>8</v>
      </c>
      <c r="E263">
        <f t="shared" si="14"/>
        <v>4.6174999999999997</v>
      </c>
    </row>
    <row r="264" spans="1:5" x14ac:dyDescent="0.25">
      <c r="A264" s="13">
        <v>44057</v>
      </c>
      <c r="B264" s="12">
        <v>4.6500000000000004</v>
      </c>
      <c r="C264" s="12">
        <f t="shared" si="12"/>
        <v>2020</v>
      </c>
      <c r="D264" s="12">
        <f t="shared" si="13"/>
        <v>8</v>
      </c>
      <c r="E264">
        <f t="shared" si="14"/>
        <v>4.6174999999999997</v>
      </c>
    </row>
    <row r="265" spans="1:5" x14ac:dyDescent="0.25">
      <c r="A265" s="13">
        <v>44050</v>
      </c>
      <c r="B265" s="12">
        <v>4.67</v>
      </c>
      <c r="C265" s="12">
        <f t="shared" si="12"/>
        <v>2020</v>
      </c>
      <c r="D265" s="12">
        <f t="shared" si="13"/>
        <v>8</v>
      </c>
      <c r="E265">
        <f t="shared" si="14"/>
        <v>4.6174999999999997</v>
      </c>
    </row>
    <row r="266" spans="1:5" x14ac:dyDescent="0.25">
      <c r="A266" s="13">
        <v>44047</v>
      </c>
      <c r="B266" s="12"/>
      <c r="C266" s="12">
        <f t="shared" si="12"/>
        <v>2020</v>
      </c>
      <c r="D266" s="12">
        <f t="shared" si="13"/>
        <v>8</v>
      </c>
      <c r="E266">
        <f t="shared" si="14"/>
        <v>4.6174999999999997</v>
      </c>
    </row>
    <row r="267" spans="1:5" x14ac:dyDescent="0.25">
      <c r="A267" s="13">
        <v>44043</v>
      </c>
      <c r="B267" s="12">
        <v>4.59</v>
      </c>
      <c r="C267" s="12">
        <f t="shared" si="12"/>
        <v>2020</v>
      </c>
      <c r="D267" s="12">
        <f t="shared" si="13"/>
        <v>7</v>
      </c>
      <c r="E267">
        <f t="shared" si="14"/>
        <v>4.8</v>
      </c>
    </row>
    <row r="268" spans="1:5" x14ac:dyDescent="0.25">
      <c r="A268" s="13">
        <v>44036</v>
      </c>
      <c r="B268" s="12">
        <v>4.5999999999999996</v>
      </c>
      <c r="C268" s="12">
        <f t="shared" si="12"/>
        <v>2020</v>
      </c>
      <c r="D268" s="12">
        <f t="shared" si="13"/>
        <v>7</v>
      </c>
      <c r="E268">
        <f t="shared" si="14"/>
        <v>4.8</v>
      </c>
    </row>
    <row r="269" spans="1:5" x14ac:dyDescent="0.25">
      <c r="A269" s="13">
        <v>44029</v>
      </c>
      <c r="B269" s="12">
        <v>4.6500000000000004</v>
      </c>
      <c r="C269" s="12">
        <f t="shared" si="12"/>
        <v>2020</v>
      </c>
      <c r="D269" s="12">
        <f t="shared" si="13"/>
        <v>7</v>
      </c>
      <c r="E269">
        <f t="shared" si="14"/>
        <v>4.8</v>
      </c>
    </row>
    <row r="270" spans="1:5" x14ac:dyDescent="0.25">
      <c r="A270" s="13">
        <v>44027</v>
      </c>
      <c r="B270" s="12"/>
      <c r="C270" s="12">
        <f t="shared" si="12"/>
        <v>2020</v>
      </c>
      <c r="D270" s="12">
        <f t="shared" si="13"/>
        <v>7</v>
      </c>
      <c r="E270">
        <f t="shared" si="14"/>
        <v>4.8</v>
      </c>
    </row>
    <row r="271" spans="1:5" x14ac:dyDescent="0.25">
      <c r="A271" s="13">
        <v>44022</v>
      </c>
      <c r="B271" s="12">
        <v>5.08</v>
      </c>
      <c r="C271" s="12">
        <f t="shared" si="12"/>
        <v>2020</v>
      </c>
      <c r="D271" s="12">
        <f t="shared" si="13"/>
        <v>7</v>
      </c>
      <c r="E271">
        <f t="shared" si="14"/>
        <v>4.8</v>
      </c>
    </row>
    <row r="272" spans="1:5" x14ac:dyDescent="0.25">
      <c r="A272" s="13">
        <v>44015</v>
      </c>
      <c r="B272" s="12">
        <v>5.08</v>
      </c>
      <c r="C272" s="12">
        <f t="shared" si="12"/>
        <v>2020</v>
      </c>
      <c r="D272" s="12">
        <f t="shared" si="13"/>
        <v>7</v>
      </c>
      <c r="E272">
        <f t="shared" si="14"/>
        <v>4.8</v>
      </c>
    </row>
    <row r="273" spans="1:5" x14ac:dyDescent="0.25">
      <c r="A273" s="13">
        <v>44013</v>
      </c>
      <c r="B273" s="12"/>
      <c r="C273" s="12">
        <f t="shared" si="12"/>
        <v>2020</v>
      </c>
      <c r="D273" s="12">
        <f t="shared" si="13"/>
        <v>7</v>
      </c>
      <c r="E273">
        <f t="shared" si="14"/>
        <v>4.8</v>
      </c>
    </row>
    <row r="274" spans="1:5" x14ac:dyDescent="0.25">
      <c r="A274" s="13">
        <v>44008</v>
      </c>
      <c r="B274" s="12">
        <v>5.5</v>
      </c>
      <c r="C274" s="12">
        <f t="shared" si="12"/>
        <v>2020</v>
      </c>
      <c r="D274" s="12">
        <f t="shared" si="13"/>
        <v>6</v>
      </c>
      <c r="E274">
        <f t="shared" si="14"/>
        <v>6.2874999999999996</v>
      </c>
    </row>
    <row r="275" spans="1:5" x14ac:dyDescent="0.25">
      <c r="A275" s="13">
        <v>44001</v>
      </c>
      <c r="B275" s="12">
        <v>6.3</v>
      </c>
      <c r="C275" s="12">
        <f t="shared" si="12"/>
        <v>2020</v>
      </c>
      <c r="D275" s="12">
        <f t="shared" si="13"/>
        <v>6</v>
      </c>
      <c r="E275">
        <f t="shared" si="14"/>
        <v>6.2874999999999996</v>
      </c>
    </row>
    <row r="276" spans="1:5" x14ac:dyDescent="0.25">
      <c r="A276" s="13">
        <v>43997</v>
      </c>
      <c r="B276" s="12"/>
      <c r="C276" s="12">
        <f t="shared" si="12"/>
        <v>2020</v>
      </c>
      <c r="D276" s="12">
        <f t="shared" si="13"/>
        <v>6</v>
      </c>
      <c r="E276">
        <f t="shared" si="14"/>
        <v>6.2874999999999996</v>
      </c>
    </row>
    <row r="277" spans="1:5" x14ac:dyDescent="0.25">
      <c r="A277" s="13">
        <v>43994</v>
      </c>
      <c r="B277" s="12">
        <v>6.67</v>
      </c>
      <c r="C277" s="12">
        <f t="shared" si="12"/>
        <v>2020</v>
      </c>
      <c r="D277" s="12">
        <f t="shared" si="13"/>
        <v>6</v>
      </c>
      <c r="E277">
        <f t="shared" si="14"/>
        <v>6.2874999999999996</v>
      </c>
    </row>
    <row r="278" spans="1:5" x14ac:dyDescent="0.25">
      <c r="A278" s="13">
        <v>43990</v>
      </c>
      <c r="B278" s="12"/>
      <c r="C278" s="12">
        <f t="shared" si="12"/>
        <v>2020</v>
      </c>
      <c r="D278" s="12">
        <f t="shared" si="13"/>
        <v>6</v>
      </c>
      <c r="E278">
        <f t="shared" si="14"/>
        <v>6.2874999999999996</v>
      </c>
    </row>
    <row r="279" spans="1:5" x14ac:dyDescent="0.25">
      <c r="A279" s="13">
        <v>43986</v>
      </c>
      <c r="B279" s="12">
        <v>6.68</v>
      </c>
      <c r="C279" s="12">
        <f t="shared" si="12"/>
        <v>2020</v>
      </c>
      <c r="D279" s="12">
        <f t="shared" si="13"/>
        <v>6</v>
      </c>
      <c r="E279">
        <f t="shared" si="14"/>
        <v>6.2874999999999996</v>
      </c>
    </row>
    <row r="280" spans="1:5" x14ac:dyDescent="0.25">
      <c r="A280" s="13">
        <v>43980</v>
      </c>
      <c r="B280" s="12">
        <v>6.69</v>
      </c>
      <c r="C280" s="12">
        <f t="shared" si="12"/>
        <v>2020</v>
      </c>
      <c r="D280" s="12">
        <f t="shared" si="13"/>
        <v>5</v>
      </c>
      <c r="E280">
        <f t="shared" si="14"/>
        <v>6.7450000000000001</v>
      </c>
    </row>
    <row r="281" spans="1:5" x14ac:dyDescent="0.25">
      <c r="A281" s="13">
        <v>43973</v>
      </c>
      <c r="B281" s="12">
        <v>6.71</v>
      </c>
      <c r="C281" s="12">
        <f t="shared" si="12"/>
        <v>2020</v>
      </c>
      <c r="D281" s="12">
        <f t="shared" si="13"/>
        <v>5</v>
      </c>
      <c r="E281">
        <f t="shared" si="14"/>
        <v>6.7450000000000001</v>
      </c>
    </row>
    <row r="282" spans="1:5" x14ac:dyDescent="0.25">
      <c r="A282" s="13">
        <v>43966</v>
      </c>
      <c r="B282" s="12">
        <v>6.74</v>
      </c>
      <c r="C282" s="12">
        <f t="shared" si="12"/>
        <v>2020</v>
      </c>
      <c r="D282" s="12">
        <f t="shared" si="13"/>
        <v>5</v>
      </c>
      <c r="E282">
        <f t="shared" si="14"/>
        <v>6.7450000000000001</v>
      </c>
    </row>
    <row r="283" spans="1:5" x14ac:dyDescent="0.25">
      <c r="A283" s="13">
        <v>43957</v>
      </c>
      <c r="B283" s="12">
        <v>6.84</v>
      </c>
      <c r="C283" s="12">
        <f t="shared" si="12"/>
        <v>2020</v>
      </c>
      <c r="D283" s="12">
        <f t="shared" si="13"/>
        <v>5</v>
      </c>
      <c r="E283">
        <f t="shared" si="14"/>
        <v>6.7450000000000001</v>
      </c>
    </row>
    <row r="284" spans="1:5" x14ac:dyDescent="0.25">
      <c r="A284" s="13">
        <v>43955</v>
      </c>
      <c r="B284" s="12"/>
      <c r="C284" s="12">
        <f t="shared" si="12"/>
        <v>2020</v>
      </c>
      <c r="D284" s="12">
        <f t="shared" si="13"/>
        <v>5</v>
      </c>
      <c r="E284">
        <f t="shared" si="14"/>
        <v>6.7450000000000001</v>
      </c>
    </row>
    <row r="285" spans="1:5" x14ac:dyDescent="0.25">
      <c r="A285" s="13">
        <v>43951</v>
      </c>
      <c r="B285" s="12">
        <v>6.75</v>
      </c>
      <c r="C285" s="12">
        <f t="shared" si="12"/>
        <v>2020</v>
      </c>
      <c r="D285" s="12">
        <f t="shared" si="13"/>
        <v>4</v>
      </c>
      <c r="E285">
        <f t="shared" si="14"/>
        <v>6.7625000000000002</v>
      </c>
    </row>
    <row r="286" spans="1:5" x14ac:dyDescent="0.25">
      <c r="A286" s="13">
        <v>43945</v>
      </c>
      <c r="B286" s="12">
        <v>6.75</v>
      </c>
      <c r="C286" s="12">
        <f t="shared" si="12"/>
        <v>2020</v>
      </c>
      <c r="D286" s="12">
        <f t="shared" si="13"/>
        <v>4</v>
      </c>
      <c r="E286">
        <f t="shared" si="14"/>
        <v>6.7625000000000002</v>
      </c>
    </row>
    <row r="287" spans="1:5" x14ac:dyDescent="0.25">
      <c r="A287" s="13">
        <v>43938</v>
      </c>
      <c r="B287" s="12">
        <v>6.75</v>
      </c>
      <c r="C287" s="12">
        <f t="shared" si="12"/>
        <v>2020</v>
      </c>
      <c r="D287" s="12">
        <f t="shared" si="13"/>
        <v>4</v>
      </c>
      <c r="E287">
        <f t="shared" si="14"/>
        <v>6.7625000000000002</v>
      </c>
    </row>
    <row r="288" spans="1:5" x14ac:dyDescent="0.25">
      <c r="A288" s="13">
        <v>43936</v>
      </c>
      <c r="B288" s="12"/>
      <c r="C288" s="12">
        <f t="shared" si="12"/>
        <v>2020</v>
      </c>
      <c r="D288" s="12">
        <f t="shared" si="13"/>
        <v>4</v>
      </c>
      <c r="E288">
        <f t="shared" si="14"/>
        <v>6.7625000000000002</v>
      </c>
    </row>
    <row r="289" spans="1:5" x14ac:dyDescent="0.25">
      <c r="A289" s="13">
        <v>43930</v>
      </c>
      <c r="B289" s="12"/>
      <c r="C289" s="12">
        <f t="shared" si="12"/>
        <v>2020</v>
      </c>
      <c r="D289" s="12">
        <f t="shared" si="13"/>
        <v>4</v>
      </c>
      <c r="E289">
        <f t="shared" si="14"/>
        <v>6.7625000000000002</v>
      </c>
    </row>
    <row r="290" spans="1:5" x14ac:dyDescent="0.25">
      <c r="A290" s="13">
        <v>43924</v>
      </c>
      <c r="B290" s="12">
        <v>6.8</v>
      </c>
      <c r="C290" s="12">
        <f t="shared" si="12"/>
        <v>2020</v>
      </c>
      <c r="D290" s="12">
        <f t="shared" si="13"/>
        <v>4</v>
      </c>
      <c r="E290">
        <f t="shared" si="14"/>
        <v>6.7625000000000002</v>
      </c>
    </row>
    <row r="291" spans="1:5" x14ac:dyDescent="0.25">
      <c r="A291" s="13">
        <v>43917</v>
      </c>
      <c r="B291" s="12">
        <v>7</v>
      </c>
      <c r="C291" s="12">
        <f t="shared" si="12"/>
        <v>2020</v>
      </c>
      <c r="D291" s="12">
        <f t="shared" si="13"/>
        <v>3</v>
      </c>
      <c r="E291">
        <f t="shared" si="14"/>
        <v>7.2725</v>
      </c>
    </row>
    <row r="292" spans="1:5" x14ac:dyDescent="0.25">
      <c r="A292" s="13">
        <v>43910</v>
      </c>
      <c r="B292" s="12">
        <v>7.27</v>
      </c>
      <c r="C292" s="12">
        <f t="shared" si="12"/>
        <v>2020</v>
      </c>
      <c r="D292" s="12">
        <f t="shared" si="13"/>
        <v>3</v>
      </c>
      <c r="E292">
        <f t="shared" si="14"/>
        <v>7.2725</v>
      </c>
    </row>
    <row r="293" spans="1:5" x14ac:dyDescent="0.25">
      <c r="A293" s="13">
        <v>43903</v>
      </c>
      <c r="B293" s="12">
        <v>7.41</v>
      </c>
      <c r="C293" s="12">
        <f t="shared" si="12"/>
        <v>2020</v>
      </c>
      <c r="D293" s="12">
        <f t="shared" si="13"/>
        <v>3</v>
      </c>
      <c r="E293">
        <f t="shared" si="14"/>
        <v>7.2725</v>
      </c>
    </row>
    <row r="294" spans="1:5" x14ac:dyDescent="0.25">
      <c r="A294" s="13">
        <v>43896</v>
      </c>
      <c r="B294" s="12">
        <v>7.41</v>
      </c>
      <c r="C294" s="12">
        <f t="shared" si="12"/>
        <v>2020</v>
      </c>
      <c r="D294" s="12">
        <f t="shared" si="13"/>
        <v>3</v>
      </c>
      <c r="E294">
        <f t="shared" si="14"/>
        <v>7.2725</v>
      </c>
    </row>
    <row r="295" spans="1:5" x14ac:dyDescent="0.25">
      <c r="A295" s="13">
        <v>43889</v>
      </c>
      <c r="B295" s="12">
        <v>7.42</v>
      </c>
      <c r="C295" s="12">
        <f t="shared" si="12"/>
        <v>2020</v>
      </c>
      <c r="D295" s="12">
        <f t="shared" si="13"/>
        <v>2</v>
      </c>
      <c r="E295">
        <f t="shared" si="14"/>
        <v>7.3975</v>
      </c>
    </row>
    <row r="296" spans="1:5" x14ac:dyDescent="0.25">
      <c r="A296" s="13">
        <v>43881</v>
      </c>
      <c r="B296" s="12">
        <v>7.44</v>
      </c>
      <c r="C296" s="12">
        <f t="shared" si="12"/>
        <v>2020</v>
      </c>
      <c r="D296" s="12">
        <f t="shared" si="13"/>
        <v>2</v>
      </c>
      <c r="E296">
        <f t="shared" si="14"/>
        <v>7.3975</v>
      </c>
    </row>
    <row r="297" spans="1:5" x14ac:dyDescent="0.25">
      <c r="A297" s="13">
        <v>43875</v>
      </c>
      <c r="B297" s="12">
        <v>7.36</v>
      </c>
      <c r="C297" s="12">
        <f t="shared" si="12"/>
        <v>2020</v>
      </c>
      <c r="D297" s="12">
        <f t="shared" si="13"/>
        <v>2</v>
      </c>
      <c r="E297">
        <f t="shared" si="14"/>
        <v>7.3975</v>
      </c>
    </row>
    <row r="298" spans="1:5" x14ac:dyDescent="0.25">
      <c r="A298" s="13">
        <v>43868</v>
      </c>
      <c r="B298" s="12">
        <v>7.37</v>
      </c>
      <c r="C298" s="12">
        <f t="shared" si="12"/>
        <v>2020</v>
      </c>
      <c r="D298" s="12">
        <f t="shared" si="13"/>
        <v>2</v>
      </c>
      <c r="E298">
        <f t="shared" si="14"/>
        <v>7.3975</v>
      </c>
    </row>
    <row r="299" spans="1:5" x14ac:dyDescent="0.25">
      <c r="A299" s="13">
        <v>43864</v>
      </c>
      <c r="B299" s="12"/>
      <c r="C299" s="12">
        <f t="shared" si="12"/>
        <v>2020</v>
      </c>
      <c r="D299" s="12">
        <f t="shared" si="13"/>
        <v>2</v>
      </c>
      <c r="E299">
        <f t="shared" si="14"/>
        <v>7.3975</v>
      </c>
    </row>
    <row r="300" spans="1:5" x14ac:dyDescent="0.25">
      <c r="A300" s="13">
        <v>43861</v>
      </c>
      <c r="B300" s="12">
        <v>7.51</v>
      </c>
      <c r="C300" s="12">
        <f t="shared" si="12"/>
        <v>2020</v>
      </c>
      <c r="D300" s="12">
        <f t="shared" si="13"/>
        <v>1</v>
      </c>
      <c r="E300">
        <f t="shared" si="14"/>
        <v>7.52</v>
      </c>
    </row>
    <row r="301" spans="1:5" x14ac:dyDescent="0.25">
      <c r="A301" s="13">
        <v>43854</v>
      </c>
      <c r="B301" s="12">
        <v>7.55</v>
      </c>
      <c r="C301" s="12">
        <f t="shared" si="12"/>
        <v>2020</v>
      </c>
      <c r="D301" s="12">
        <f t="shared" si="13"/>
        <v>1</v>
      </c>
      <c r="E301">
        <f t="shared" si="14"/>
        <v>7.52</v>
      </c>
    </row>
    <row r="302" spans="1:5" x14ac:dyDescent="0.25">
      <c r="A302" s="13">
        <v>43847</v>
      </c>
      <c r="B302" s="12"/>
      <c r="C302" s="12">
        <f t="shared" si="12"/>
        <v>2020</v>
      </c>
      <c r="D302" s="12">
        <f t="shared" si="13"/>
        <v>1</v>
      </c>
      <c r="E302">
        <f t="shared" si="14"/>
        <v>7.52</v>
      </c>
    </row>
    <row r="303" spans="1:5" x14ac:dyDescent="0.25">
      <c r="A303" s="13">
        <v>43846</v>
      </c>
      <c r="B303" s="12"/>
      <c r="C303" s="12">
        <f t="shared" si="12"/>
        <v>2020</v>
      </c>
      <c r="D303" s="12">
        <f t="shared" si="13"/>
        <v>1</v>
      </c>
      <c r="E303">
        <f t="shared" si="14"/>
        <v>7.52</v>
      </c>
    </row>
    <row r="304" spans="1:5" x14ac:dyDescent="0.25">
      <c r="A304" s="13">
        <v>43839</v>
      </c>
      <c r="B304" s="12">
        <v>7.5</v>
      </c>
      <c r="C304" s="12">
        <f t="shared" si="12"/>
        <v>2020</v>
      </c>
      <c r="D304" s="12">
        <f t="shared" si="13"/>
        <v>1</v>
      </c>
      <c r="E304">
        <f t="shared" si="14"/>
        <v>7.52</v>
      </c>
    </row>
    <row r="305" spans="1:5" x14ac:dyDescent="0.25">
      <c r="A305" s="13">
        <v>43833</v>
      </c>
      <c r="B305" s="12"/>
      <c r="C305" s="12">
        <f t="shared" si="12"/>
        <v>2020</v>
      </c>
      <c r="D305" s="12">
        <f t="shared" si="13"/>
        <v>1</v>
      </c>
      <c r="E305">
        <f t="shared" si="14"/>
        <v>7.52</v>
      </c>
    </row>
    <row r="306" spans="1:5" x14ac:dyDescent="0.25">
      <c r="A306" s="13">
        <v>43826</v>
      </c>
      <c r="B306" s="12">
        <v>7.51</v>
      </c>
      <c r="C306" s="12">
        <f t="shared" si="12"/>
        <v>2019</v>
      </c>
      <c r="D306" s="12">
        <f t="shared" si="13"/>
        <v>12</v>
      </c>
      <c r="E306">
        <f t="shared" si="14"/>
        <v>7.4799999999999995</v>
      </c>
    </row>
    <row r="307" spans="1:5" x14ac:dyDescent="0.25">
      <c r="A307" s="13">
        <v>43819</v>
      </c>
      <c r="B307" s="12">
        <v>7.51</v>
      </c>
      <c r="C307" s="12">
        <f t="shared" si="12"/>
        <v>2019</v>
      </c>
      <c r="D307" s="12">
        <f t="shared" si="13"/>
        <v>12</v>
      </c>
      <c r="E307">
        <f t="shared" si="14"/>
        <v>7.4799999999999995</v>
      </c>
    </row>
    <row r="308" spans="1:5" x14ac:dyDescent="0.25">
      <c r="A308" s="13">
        <v>43815</v>
      </c>
      <c r="B308" s="12"/>
      <c r="C308" s="12">
        <f t="shared" si="12"/>
        <v>2019</v>
      </c>
      <c r="D308" s="12">
        <f t="shared" si="13"/>
        <v>12</v>
      </c>
      <c r="E308">
        <f t="shared" si="14"/>
        <v>7.4799999999999995</v>
      </c>
    </row>
    <row r="309" spans="1:5" x14ac:dyDescent="0.25">
      <c r="A309" s="13">
        <v>43812</v>
      </c>
      <c r="B309" s="12">
        <v>7.45</v>
      </c>
      <c r="C309" s="12">
        <f t="shared" si="12"/>
        <v>2019</v>
      </c>
      <c r="D309" s="12">
        <f t="shared" si="13"/>
        <v>12</v>
      </c>
      <c r="E309">
        <f t="shared" si="14"/>
        <v>7.4799999999999995</v>
      </c>
    </row>
    <row r="310" spans="1:5" x14ac:dyDescent="0.25">
      <c r="A310" s="13">
        <v>43805</v>
      </c>
      <c r="B310" s="12">
        <v>7.45</v>
      </c>
      <c r="C310" s="12">
        <f t="shared" si="12"/>
        <v>2019</v>
      </c>
      <c r="D310" s="12">
        <f t="shared" si="13"/>
        <v>12</v>
      </c>
      <c r="E310">
        <f t="shared" si="14"/>
        <v>7.4799999999999995</v>
      </c>
    </row>
    <row r="311" spans="1:5" x14ac:dyDescent="0.25">
      <c r="A311" s="13">
        <v>43791</v>
      </c>
      <c r="B311" s="12">
        <v>7.47</v>
      </c>
      <c r="C311" s="12">
        <f t="shared" si="12"/>
        <v>2019</v>
      </c>
      <c r="D311" s="12">
        <f t="shared" si="13"/>
        <v>11</v>
      </c>
      <c r="E311">
        <f t="shared" si="14"/>
        <v>7.5024999999999995</v>
      </c>
    </row>
    <row r="312" spans="1:5" x14ac:dyDescent="0.25">
      <c r="A312" s="13">
        <v>43784</v>
      </c>
      <c r="B312" s="12">
        <v>7.56</v>
      </c>
      <c r="C312" s="12">
        <f t="shared" si="12"/>
        <v>2019</v>
      </c>
      <c r="D312" s="12">
        <f t="shared" si="13"/>
        <v>11</v>
      </c>
      <c r="E312">
        <f t="shared" si="14"/>
        <v>7.5024999999999995</v>
      </c>
    </row>
    <row r="313" spans="1:5" x14ac:dyDescent="0.25">
      <c r="A313" s="13">
        <v>43777</v>
      </c>
      <c r="B313" s="12">
        <v>7.49</v>
      </c>
      <c r="C313" s="12">
        <f t="shared" si="12"/>
        <v>2019</v>
      </c>
      <c r="D313" s="12">
        <f t="shared" si="13"/>
        <v>11</v>
      </c>
      <c r="E313">
        <f t="shared" si="14"/>
        <v>7.5024999999999995</v>
      </c>
    </row>
    <row r="314" spans="1:5" x14ac:dyDescent="0.25">
      <c r="A314" s="13">
        <v>43770</v>
      </c>
      <c r="B314" s="12">
        <v>7.49</v>
      </c>
      <c r="C314" s="12">
        <f t="shared" si="12"/>
        <v>2019</v>
      </c>
      <c r="D314" s="12">
        <f t="shared" si="13"/>
        <v>11</v>
      </c>
      <c r="E314">
        <f t="shared" si="14"/>
        <v>7.5024999999999995</v>
      </c>
    </row>
    <row r="315" spans="1:5" x14ac:dyDescent="0.25">
      <c r="A315" s="13">
        <v>43763</v>
      </c>
      <c r="B315" s="12">
        <v>7.5</v>
      </c>
      <c r="C315" s="12">
        <f t="shared" si="12"/>
        <v>2019</v>
      </c>
      <c r="D315" s="12">
        <f t="shared" si="13"/>
        <v>10</v>
      </c>
      <c r="E315">
        <f t="shared" si="14"/>
        <v>7.5600000000000005</v>
      </c>
    </row>
    <row r="316" spans="1:5" x14ac:dyDescent="0.25">
      <c r="A316" s="13">
        <v>43756</v>
      </c>
      <c r="B316" s="12">
        <v>7.56</v>
      </c>
      <c r="C316" s="12">
        <f t="shared" si="12"/>
        <v>2019</v>
      </c>
      <c r="D316" s="12">
        <f t="shared" si="13"/>
        <v>10</v>
      </c>
      <c r="E316">
        <f t="shared" si="14"/>
        <v>7.5600000000000005</v>
      </c>
    </row>
    <row r="317" spans="1:5" x14ac:dyDescent="0.25">
      <c r="A317" s="13">
        <v>43753</v>
      </c>
      <c r="B317" s="12"/>
      <c r="C317" s="12">
        <f t="shared" si="12"/>
        <v>2019</v>
      </c>
      <c r="D317" s="12">
        <f t="shared" si="13"/>
        <v>10</v>
      </c>
      <c r="E317">
        <f t="shared" si="14"/>
        <v>7.5600000000000005</v>
      </c>
    </row>
    <row r="318" spans="1:5" x14ac:dyDescent="0.25">
      <c r="A318" s="13">
        <v>43749</v>
      </c>
      <c r="B318" s="12">
        <v>7.58</v>
      </c>
      <c r="C318" s="12">
        <f t="shared" si="12"/>
        <v>2019</v>
      </c>
      <c r="D318" s="12">
        <f t="shared" si="13"/>
        <v>10</v>
      </c>
      <c r="E318">
        <f t="shared" si="14"/>
        <v>7.5600000000000005</v>
      </c>
    </row>
    <row r="319" spans="1:5" x14ac:dyDescent="0.25">
      <c r="A319" s="13">
        <v>43742</v>
      </c>
      <c r="B319" s="12">
        <v>7.6</v>
      </c>
      <c r="C319" s="12">
        <f t="shared" si="12"/>
        <v>2019</v>
      </c>
      <c r="D319" s="12">
        <f t="shared" si="13"/>
        <v>10</v>
      </c>
      <c r="E319">
        <f t="shared" si="14"/>
        <v>7.5600000000000005</v>
      </c>
    </row>
    <row r="320" spans="1:5" x14ac:dyDescent="0.25">
      <c r="A320" s="13">
        <v>43735</v>
      </c>
      <c r="B320" s="12">
        <v>7.62</v>
      </c>
      <c r="C320" s="12">
        <f t="shared" si="12"/>
        <v>2019</v>
      </c>
      <c r="D320" s="12">
        <f t="shared" si="13"/>
        <v>9</v>
      </c>
      <c r="E320">
        <f t="shared" si="14"/>
        <v>7.6150000000000002</v>
      </c>
    </row>
    <row r="321" spans="1:5" x14ac:dyDescent="0.25">
      <c r="A321" s="13">
        <v>43728</v>
      </c>
      <c r="B321" s="12"/>
      <c r="C321" s="12">
        <f t="shared" si="12"/>
        <v>2019</v>
      </c>
      <c r="D321" s="12">
        <f t="shared" si="13"/>
        <v>9</v>
      </c>
      <c r="E321">
        <f t="shared" si="14"/>
        <v>7.6150000000000002</v>
      </c>
    </row>
    <row r="322" spans="1:5" x14ac:dyDescent="0.25">
      <c r="A322" s="13">
        <v>43724</v>
      </c>
      <c r="B322" s="12"/>
      <c r="C322" s="12">
        <f t="shared" si="12"/>
        <v>2019</v>
      </c>
      <c r="D322" s="12">
        <f t="shared" si="13"/>
        <v>9</v>
      </c>
      <c r="E322">
        <f t="shared" si="14"/>
        <v>7.6150000000000002</v>
      </c>
    </row>
    <row r="323" spans="1:5" x14ac:dyDescent="0.25">
      <c r="A323" s="13">
        <v>43720</v>
      </c>
      <c r="B323" s="12">
        <v>7.61</v>
      </c>
      <c r="C323" s="12">
        <f t="shared" ref="C323:C386" si="15">YEAR(A323)</f>
        <v>2019</v>
      </c>
      <c r="D323" s="12">
        <f t="shared" ref="D323:D386" si="16">(MONTH(A323))</f>
        <v>9</v>
      </c>
      <c r="E323">
        <f t="shared" ref="E323:E386" si="17">AVERAGEIFS($B:$B, $C:$C, C323, $D:$D, D323)</f>
        <v>7.6150000000000002</v>
      </c>
    </row>
    <row r="324" spans="1:5" x14ac:dyDescent="0.25">
      <c r="A324" s="13">
        <v>43714</v>
      </c>
      <c r="B324" s="12"/>
      <c r="C324" s="12">
        <f t="shared" si="15"/>
        <v>2019</v>
      </c>
      <c r="D324" s="12">
        <f t="shared" si="16"/>
        <v>9</v>
      </c>
      <c r="E324">
        <f t="shared" si="17"/>
        <v>7.6150000000000002</v>
      </c>
    </row>
    <row r="325" spans="1:5" x14ac:dyDescent="0.25">
      <c r="A325" s="13">
        <v>43707</v>
      </c>
      <c r="B325" s="12">
        <v>7.63</v>
      </c>
      <c r="C325" s="12">
        <f t="shared" si="15"/>
        <v>2019</v>
      </c>
      <c r="D325" s="12">
        <f t="shared" si="16"/>
        <v>8</v>
      </c>
      <c r="E325">
        <f t="shared" si="17"/>
        <v>7.7739999999999991</v>
      </c>
    </row>
    <row r="326" spans="1:5" x14ac:dyDescent="0.25">
      <c r="A326" s="13">
        <v>43700</v>
      </c>
      <c r="B326" s="12">
        <v>7.84</v>
      </c>
      <c r="C326" s="12">
        <f t="shared" si="15"/>
        <v>2019</v>
      </c>
      <c r="D326" s="12">
        <f t="shared" si="16"/>
        <v>8</v>
      </c>
      <c r="E326">
        <f t="shared" si="17"/>
        <v>7.7739999999999991</v>
      </c>
    </row>
    <row r="327" spans="1:5" x14ac:dyDescent="0.25">
      <c r="A327" s="13">
        <v>43693</v>
      </c>
      <c r="B327" s="12">
        <v>7.8</v>
      </c>
      <c r="C327" s="12">
        <f t="shared" si="15"/>
        <v>2019</v>
      </c>
      <c r="D327" s="12">
        <f t="shared" si="16"/>
        <v>8</v>
      </c>
      <c r="E327">
        <f t="shared" si="17"/>
        <v>7.7739999999999991</v>
      </c>
    </row>
    <row r="328" spans="1:5" x14ac:dyDescent="0.25">
      <c r="A328" s="13">
        <v>43692</v>
      </c>
      <c r="B328" s="12"/>
      <c r="C328" s="12">
        <f t="shared" si="15"/>
        <v>2019</v>
      </c>
      <c r="D328" s="12">
        <f t="shared" si="16"/>
        <v>8</v>
      </c>
      <c r="E328">
        <f t="shared" si="17"/>
        <v>7.7739999999999991</v>
      </c>
    </row>
    <row r="329" spans="1:5" x14ac:dyDescent="0.25">
      <c r="A329" s="13">
        <v>43686</v>
      </c>
      <c r="B329" s="12">
        <v>7.75</v>
      </c>
      <c r="C329" s="12">
        <f t="shared" si="15"/>
        <v>2019</v>
      </c>
      <c r="D329" s="12">
        <f t="shared" si="16"/>
        <v>8</v>
      </c>
      <c r="E329">
        <f t="shared" si="17"/>
        <v>7.7739999999999991</v>
      </c>
    </row>
    <row r="330" spans="1:5" x14ac:dyDescent="0.25">
      <c r="A330" s="13">
        <v>43679</v>
      </c>
      <c r="B330" s="12">
        <v>7.85</v>
      </c>
      <c r="C330" s="12">
        <f t="shared" si="15"/>
        <v>2019</v>
      </c>
      <c r="D330" s="12">
        <f t="shared" si="16"/>
        <v>8</v>
      </c>
      <c r="E330">
        <f t="shared" si="17"/>
        <v>7.7739999999999991</v>
      </c>
    </row>
    <row r="331" spans="1:5" x14ac:dyDescent="0.25">
      <c r="A331" s="13">
        <v>43672</v>
      </c>
      <c r="B331" s="12">
        <v>7.89</v>
      </c>
      <c r="C331" s="12">
        <f t="shared" si="15"/>
        <v>2019</v>
      </c>
      <c r="D331" s="12">
        <f t="shared" si="16"/>
        <v>7</v>
      </c>
      <c r="E331">
        <f t="shared" si="17"/>
        <v>8.0350000000000001</v>
      </c>
    </row>
    <row r="332" spans="1:5" x14ac:dyDescent="0.25">
      <c r="A332" s="13">
        <v>43665</v>
      </c>
      <c r="B332" s="12">
        <v>7.99</v>
      </c>
      <c r="C332" s="12">
        <f t="shared" si="15"/>
        <v>2019</v>
      </c>
      <c r="D332" s="12">
        <f t="shared" si="16"/>
        <v>7</v>
      </c>
      <c r="E332">
        <f t="shared" si="17"/>
        <v>8.0350000000000001</v>
      </c>
    </row>
    <row r="333" spans="1:5" x14ac:dyDescent="0.25">
      <c r="A333" s="13">
        <v>43658</v>
      </c>
      <c r="B333" s="12">
        <v>8.09</v>
      </c>
      <c r="C333" s="12">
        <f t="shared" si="15"/>
        <v>2019</v>
      </c>
      <c r="D333" s="12">
        <f t="shared" si="16"/>
        <v>7</v>
      </c>
      <c r="E333">
        <f t="shared" si="17"/>
        <v>8.0350000000000001</v>
      </c>
    </row>
    <row r="334" spans="1:5" x14ac:dyDescent="0.25">
      <c r="A334" s="13">
        <v>43651</v>
      </c>
      <c r="B334" s="12">
        <v>8.17</v>
      </c>
      <c r="C334" s="12">
        <f t="shared" si="15"/>
        <v>2019</v>
      </c>
      <c r="D334" s="12">
        <f t="shared" si="16"/>
        <v>7</v>
      </c>
      <c r="E334">
        <f t="shared" si="17"/>
        <v>8.0350000000000001</v>
      </c>
    </row>
    <row r="335" spans="1:5" x14ac:dyDescent="0.25">
      <c r="A335" s="13">
        <v>43647</v>
      </c>
      <c r="B335" s="12"/>
      <c r="C335" s="12">
        <f t="shared" si="15"/>
        <v>2019</v>
      </c>
      <c r="D335" s="12">
        <f t="shared" si="16"/>
        <v>7</v>
      </c>
      <c r="E335">
        <f t="shared" si="17"/>
        <v>8.0350000000000001</v>
      </c>
    </row>
    <row r="336" spans="1:5" x14ac:dyDescent="0.25">
      <c r="A336" s="13">
        <v>43644</v>
      </c>
      <c r="B336" s="12">
        <v>8.24</v>
      </c>
      <c r="C336" s="12">
        <f t="shared" si="15"/>
        <v>2019</v>
      </c>
      <c r="D336" s="12">
        <f t="shared" si="16"/>
        <v>6</v>
      </c>
      <c r="E336">
        <f t="shared" si="17"/>
        <v>8.3450000000000006</v>
      </c>
    </row>
    <row r="337" spans="1:5" x14ac:dyDescent="0.25">
      <c r="A337" s="13">
        <v>43637</v>
      </c>
      <c r="B337" s="12">
        <v>8.3800000000000008</v>
      </c>
      <c r="C337" s="12">
        <f t="shared" si="15"/>
        <v>2019</v>
      </c>
      <c r="D337" s="12">
        <f t="shared" si="16"/>
        <v>6</v>
      </c>
      <c r="E337">
        <f t="shared" si="17"/>
        <v>8.3450000000000006</v>
      </c>
    </row>
    <row r="338" spans="1:5" x14ac:dyDescent="0.25">
      <c r="A338" s="13">
        <v>43633</v>
      </c>
      <c r="B338" s="12"/>
      <c r="C338" s="12">
        <f t="shared" si="15"/>
        <v>2019</v>
      </c>
      <c r="D338" s="12">
        <f t="shared" si="16"/>
        <v>6</v>
      </c>
      <c r="E338">
        <f t="shared" si="17"/>
        <v>8.3450000000000006</v>
      </c>
    </row>
    <row r="339" spans="1:5" x14ac:dyDescent="0.25">
      <c r="A339" s="13">
        <v>43630</v>
      </c>
      <c r="B339" s="12">
        <v>8.3800000000000008</v>
      </c>
      <c r="C339" s="12">
        <f t="shared" si="15"/>
        <v>2019</v>
      </c>
      <c r="D339" s="12">
        <f t="shared" si="16"/>
        <v>6</v>
      </c>
      <c r="E339">
        <f t="shared" si="17"/>
        <v>8.3450000000000006</v>
      </c>
    </row>
    <row r="340" spans="1:5" x14ac:dyDescent="0.25">
      <c r="A340" s="13">
        <v>43623</v>
      </c>
      <c r="B340" s="12">
        <v>8.3800000000000008</v>
      </c>
      <c r="C340" s="12">
        <f t="shared" si="15"/>
        <v>2019</v>
      </c>
      <c r="D340" s="12">
        <f t="shared" si="16"/>
        <v>6</v>
      </c>
      <c r="E340">
        <f t="shared" si="17"/>
        <v>8.3450000000000006</v>
      </c>
    </row>
    <row r="341" spans="1:5" x14ac:dyDescent="0.25">
      <c r="A341" s="13">
        <v>43616</v>
      </c>
      <c r="B341" s="12"/>
      <c r="C341" s="12">
        <f t="shared" si="15"/>
        <v>2019</v>
      </c>
      <c r="D341" s="12">
        <f t="shared" si="16"/>
        <v>5</v>
      </c>
      <c r="E341">
        <f t="shared" si="17"/>
        <v>8.64</v>
      </c>
    </row>
    <row r="342" spans="1:5" x14ac:dyDescent="0.25">
      <c r="A342" s="13">
        <v>43609</v>
      </c>
      <c r="B342" s="12"/>
      <c r="C342" s="12">
        <f t="shared" si="15"/>
        <v>2019</v>
      </c>
      <c r="D342" s="12">
        <f t="shared" si="16"/>
        <v>5</v>
      </c>
      <c r="E342">
        <f t="shared" si="17"/>
        <v>8.64</v>
      </c>
    </row>
    <row r="343" spans="1:5" x14ac:dyDescent="0.25">
      <c r="A343" s="13">
        <v>43602</v>
      </c>
      <c r="B343" s="12">
        <v>8.52</v>
      </c>
      <c r="C343" s="12">
        <f t="shared" si="15"/>
        <v>2019</v>
      </c>
      <c r="D343" s="12">
        <f t="shared" si="16"/>
        <v>5</v>
      </c>
      <c r="E343">
        <f t="shared" si="17"/>
        <v>8.64</v>
      </c>
    </row>
    <row r="344" spans="1:5" x14ac:dyDescent="0.25">
      <c r="A344" s="13">
        <v>43595</v>
      </c>
      <c r="B344" s="12">
        <v>8.51</v>
      </c>
      <c r="C344" s="12">
        <f t="shared" si="15"/>
        <v>2019</v>
      </c>
      <c r="D344" s="12">
        <f t="shared" si="16"/>
        <v>5</v>
      </c>
      <c r="E344">
        <f t="shared" si="17"/>
        <v>8.64</v>
      </c>
    </row>
    <row r="345" spans="1:5" x14ac:dyDescent="0.25">
      <c r="A345" s="13">
        <v>43588</v>
      </c>
      <c r="B345" s="12">
        <v>8.89</v>
      </c>
      <c r="C345" s="12">
        <f t="shared" si="15"/>
        <v>2019</v>
      </c>
      <c r="D345" s="12">
        <f t="shared" si="16"/>
        <v>5</v>
      </c>
      <c r="E345">
        <f t="shared" si="17"/>
        <v>8.64</v>
      </c>
    </row>
    <row r="346" spans="1:5" x14ac:dyDescent="0.25">
      <c r="A346" s="13">
        <v>43587</v>
      </c>
      <c r="B346" s="12"/>
      <c r="C346" s="12">
        <f t="shared" si="15"/>
        <v>2019</v>
      </c>
      <c r="D346" s="12">
        <f t="shared" si="16"/>
        <v>5</v>
      </c>
      <c r="E346">
        <f t="shared" si="17"/>
        <v>8.64</v>
      </c>
    </row>
    <row r="347" spans="1:5" x14ac:dyDescent="0.25">
      <c r="A347" s="13">
        <v>43581</v>
      </c>
      <c r="B347" s="12">
        <v>8.94</v>
      </c>
      <c r="C347" s="12">
        <f t="shared" si="15"/>
        <v>2019</v>
      </c>
      <c r="D347" s="12">
        <f t="shared" si="16"/>
        <v>4</v>
      </c>
      <c r="E347">
        <f t="shared" si="17"/>
        <v>9.067499999999999</v>
      </c>
    </row>
    <row r="348" spans="1:5" x14ac:dyDescent="0.25">
      <c r="A348" s="13">
        <v>43573</v>
      </c>
      <c r="B348" s="12">
        <v>9</v>
      </c>
      <c r="C348" s="12">
        <f t="shared" si="15"/>
        <v>2019</v>
      </c>
      <c r="D348" s="12">
        <f t="shared" si="16"/>
        <v>4</v>
      </c>
      <c r="E348">
        <f t="shared" si="17"/>
        <v>9.067499999999999</v>
      </c>
    </row>
    <row r="349" spans="1:5" x14ac:dyDescent="0.25">
      <c r="A349" s="13">
        <v>43567</v>
      </c>
      <c r="B349" s="12">
        <v>9.09</v>
      </c>
      <c r="C349" s="12">
        <f t="shared" si="15"/>
        <v>2019</v>
      </c>
      <c r="D349" s="12">
        <f t="shared" si="16"/>
        <v>4</v>
      </c>
      <c r="E349">
        <f t="shared" si="17"/>
        <v>9.067499999999999</v>
      </c>
    </row>
    <row r="350" spans="1:5" x14ac:dyDescent="0.25">
      <c r="A350" s="13">
        <v>43560</v>
      </c>
      <c r="B350" s="12">
        <v>9.24</v>
      </c>
      <c r="C350" s="12">
        <f t="shared" si="15"/>
        <v>2019</v>
      </c>
      <c r="D350" s="12">
        <f t="shared" si="16"/>
        <v>4</v>
      </c>
      <c r="E350">
        <f t="shared" si="17"/>
        <v>9.067499999999999</v>
      </c>
    </row>
    <row r="351" spans="1:5" x14ac:dyDescent="0.25">
      <c r="A351" s="13">
        <v>43559</v>
      </c>
      <c r="B351" s="12"/>
      <c r="C351" s="12">
        <f t="shared" si="15"/>
        <v>2019</v>
      </c>
      <c r="D351" s="12">
        <f t="shared" si="16"/>
        <v>4</v>
      </c>
      <c r="E351">
        <f t="shared" si="17"/>
        <v>9.067499999999999</v>
      </c>
    </row>
    <row r="352" spans="1:5" x14ac:dyDescent="0.25">
      <c r="A352" s="13">
        <v>43553</v>
      </c>
      <c r="B352" s="12">
        <v>9.39</v>
      </c>
      <c r="C352" s="12">
        <f t="shared" si="15"/>
        <v>2019</v>
      </c>
      <c r="D352" s="12">
        <f t="shared" si="16"/>
        <v>3</v>
      </c>
      <c r="E352">
        <f t="shared" si="17"/>
        <v>9.4766666666666683</v>
      </c>
    </row>
    <row r="353" spans="1:5" x14ac:dyDescent="0.25">
      <c r="A353" s="13">
        <v>43546</v>
      </c>
      <c r="B353" s="12">
        <v>9.49</v>
      </c>
      <c r="C353" s="12">
        <f t="shared" si="15"/>
        <v>2019</v>
      </c>
      <c r="D353" s="12">
        <f t="shared" si="16"/>
        <v>3</v>
      </c>
      <c r="E353">
        <f t="shared" si="17"/>
        <v>9.4766666666666683</v>
      </c>
    </row>
    <row r="354" spans="1:5" x14ac:dyDescent="0.25">
      <c r="A354" s="13">
        <v>43539</v>
      </c>
      <c r="B354" s="12">
        <v>9.5500000000000007</v>
      </c>
      <c r="C354" s="12">
        <f t="shared" si="15"/>
        <v>2019</v>
      </c>
      <c r="D354" s="12">
        <f t="shared" si="16"/>
        <v>3</v>
      </c>
      <c r="E354">
        <f t="shared" si="17"/>
        <v>9.4766666666666683</v>
      </c>
    </row>
    <row r="355" spans="1:5" x14ac:dyDescent="0.25">
      <c r="A355" s="13">
        <v>43532</v>
      </c>
      <c r="B355" s="12"/>
      <c r="C355" s="12">
        <f t="shared" si="15"/>
        <v>2019</v>
      </c>
      <c r="D355" s="12">
        <f t="shared" si="16"/>
        <v>3</v>
      </c>
      <c r="E355">
        <f t="shared" si="17"/>
        <v>9.4766666666666683</v>
      </c>
    </row>
    <row r="356" spans="1:5" x14ac:dyDescent="0.25">
      <c r="A356" s="13">
        <v>43525</v>
      </c>
      <c r="B356" s="12"/>
      <c r="C356" s="12">
        <f t="shared" si="15"/>
        <v>2019</v>
      </c>
      <c r="D356" s="12">
        <f t="shared" si="16"/>
        <v>3</v>
      </c>
      <c r="E356">
        <f t="shared" si="17"/>
        <v>9.4766666666666683</v>
      </c>
    </row>
    <row r="357" spans="1:5" x14ac:dyDescent="0.25">
      <c r="A357" s="13">
        <v>43518</v>
      </c>
      <c r="B357" s="12"/>
      <c r="C357" s="12">
        <f t="shared" si="15"/>
        <v>2019</v>
      </c>
      <c r="D357" s="12">
        <f t="shared" si="16"/>
        <v>2</v>
      </c>
      <c r="E357">
        <f t="shared" si="17"/>
        <v>9.5500000000000007</v>
      </c>
    </row>
    <row r="358" spans="1:5" x14ac:dyDescent="0.25">
      <c r="A358" s="13">
        <v>43511</v>
      </c>
      <c r="B358" s="12"/>
      <c r="C358" s="12">
        <f t="shared" si="15"/>
        <v>2019</v>
      </c>
      <c r="D358" s="12">
        <f t="shared" si="16"/>
        <v>2</v>
      </c>
      <c r="E358">
        <f t="shared" si="17"/>
        <v>9.5500000000000007</v>
      </c>
    </row>
    <row r="359" spans="1:5" x14ac:dyDescent="0.25">
      <c r="A359" s="13">
        <v>43504</v>
      </c>
      <c r="B359" s="12">
        <v>9.5500000000000007</v>
      </c>
      <c r="C359" s="12">
        <f t="shared" si="15"/>
        <v>2019</v>
      </c>
      <c r="D359" s="12">
        <f t="shared" si="16"/>
        <v>2</v>
      </c>
      <c r="E359">
        <f t="shared" si="17"/>
        <v>9.5500000000000007</v>
      </c>
    </row>
    <row r="360" spans="1:5" x14ac:dyDescent="0.25">
      <c r="A360" s="13">
        <v>43501</v>
      </c>
      <c r="B360" s="12"/>
      <c r="C360" s="12">
        <f t="shared" si="15"/>
        <v>2019</v>
      </c>
      <c r="D360" s="12">
        <f t="shared" si="16"/>
        <v>2</v>
      </c>
      <c r="E360">
        <f t="shared" si="17"/>
        <v>9.5500000000000007</v>
      </c>
    </row>
    <row r="361" spans="1:5" x14ac:dyDescent="0.25">
      <c r="A361" s="13">
        <v>43497</v>
      </c>
      <c r="B361" s="12"/>
      <c r="C361" s="12">
        <f t="shared" si="15"/>
        <v>2019</v>
      </c>
      <c r="D361" s="12">
        <f t="shared" si="16"/>
        <v>2</v>
      </c>
      <c r="E361">
        <f t="shared" si="17"/>
        <v>9.5500000000000007</v>
      </c>
    </row>
    <row r="362" spans="1:5" x14ac:dyDescent="0.25">
      <c r="A362" s="13">
        <v>43490</v>
      </c>
      <c r="B362" s="12"/>
      <c r="C362" s="12">
        <f t="shared" si="15"/>
        <v>2019</v>
      </c>
      <c r="D362" s="12">
        <f t="shared" si="16"/>
        <v>1</v>
      </c>
      <c r="E362" t="e">
        <f t="shared" si="17"/>
        <v>#DIV/0!</v>
      </c>
    </row>
    <row r="363" spans="1:5" x14ac:dyDescent="0.25">
      <c r="A363" s="13">
        <v>43483</v>
      </c>
      <c r="B363" s="12"/>
      <c r="C363" s="12">
        <f t="shared" si="15"/>
        <v>2019</v>
      </c>
      <c r="D363" s="12">
        <f t="shared" si="16"/>
        <v>1</v>
      </c>
      <c r="E363" t="e">
        <f t="shared" si="17"/>
        <v>#DIV/0!</v>
      </c>
    </row>
    <row r="364" spans="1:5" x14ac:dyDescent="0.25">
      <c r="A364" s="13">
        <v>43481</v>
      </c>
      <c r="B364" s="12"/>
      <c r="C364" s="12">
        <f t="shared" si="15"/>
        <v>2019</v>
      </c>
      <c r="D364" s="12">
        <f t="shared" si="16"/>
        <v>1</v>
      </c>
      <c r="E364" t="e">
        <f t="shared" si="17"/>
        <v>#DIV/0!</v>
      </c>
    </row>
    <row r="365" spans="1:5" x14ac:dyDescent="0.25">
      <c r="A365" s="13">
        <v>43476</v>
      </c>
      <c r="B365" s="12"/>
      <c r="C365" s="12">
        <f t="shared" si="15"/>
        <v>2019</v>
      </c>
      <c r="D365" s="12">
        <f t="shared" si="16"/>
        <v>1</v>
      </c>
      <c r="E365" t="e">
        <f t="shared" si="17"/>
        <v>#DIV/0!</v>
      </c>
    </row>
    <row r="366" spans="1:5" x14ac:dyDescent="0.25">
      <c r="A366" s="13">
        <v>43469</v>
      </c>
      <c r="B366" s="12"/>
      <c r="C366" s="12">
        <f t="shared" si="15"/>
        <v>2019</v>
      </c>
      <c r="D366" s="12">
        <f t="shared" si="16"/>
        <v>1</v>
      </c>
      <c r="E366" t="e">
        <f t="shared" si="17"/>
        <v>#DIV/0!</v>
      </c>
    </row>
    <row r="367" spans="1:5" x14ac:dyDescent="0.25">
      <c r="A367" s="13">
        <v>43455</v>
      </c>
      <c r="B367" s="12"/>
      <c r="C367" s="12">
        <f t="shared" si="15"/>
        <v>2018</v>
      </c>
      <c r="D367" s="12">
        <f t="shared" si="16"/>
        <v>12</v>
      </c>
      <c r="E367" t="e">
        <f t="shared" si="17"/>
        <v>#DIV/0!</v>
      </c>
    </row>
    <row r="368" spans="1:5" x14ac:dyDescent="0.25">
      <c r="A368" s="13">
        <v>43451</v>
      </c>
      <c r="B368" s="12"/>
      <c r="C368" s="12">
        <f t="shared" si="15"/>
        <v>2018</v>
      </c>
      <c r="D368" s="12">
        <f t="shared" si="16"/>
        <v>12</v>
      </c>
      <c r="E368" t="e">
        <f t="shared" si="17"/>
        <v>#DIV/0!</v>
      </c>
    </row>
    <row r="369" spans="1:5" x14ac:dyDescent="0.25">
      <c r="A369" s="13">
        <v>43448</v>
      </c>
      <c r="B369" s="12"/>
      <c r="C369" s="12">
        <f t="shared" si="15"/>
        <v>2018</v>
      </c>
      <c r="D369" s="12">
        <f t="shared" si="16"/>
        <v>12</v>
      </c>
      <c r="E369" t="e">
        <f t="shared" si="17"/>
        <v>#DIV/0!</v>
      </c>
    </row>
    <row r="370" spans="1:5" x14ac:dyDescent="0.25">
      <c r="A370" s="13">
        <v>43441</v>
      </c>
      <c r="B370" s="12"/>
      <c r="C370" s="12">
        <f t="shared" si="15"/>
        <v>2018</v>
      </c>
      <c r="D370" s="12">
        <f t="shared" si="16"/>
        <v>12</v>
      </c>
      <c r="E370" t="e">
        <f t="shared" si="17"/>
        <v>#DIV/0!</v>
      </c>
    </row>
    <row r="371" spans="1:5" x14ac:dyDescent="0.25">
      <c r="A371" s="13">
        <v>43434</v>
      </c>
      <c r="B371" s="12"/>
      <c r="C371" s="12">
        <f t="shared" si="15"/>
        <v>2018</v>
      </c>
      <c r="D371" s="12">
        <f t="shared" si="16"/>
        <v>11</v>
      </c>
      <c r="E371">
        <f t="shared" si="17"/>
        <v>7.4324999999999992</v>
      </c>
    </row>
    <row r="372" spans="1:5" x14ac:dyDescent="0.25">
      <c r="A372" s="13">
        <v>43427</v>
      </c>
      <c r="B372" s="12">
        <v>10.01</v>
      </c>
      <c r="C372" s="12">
        <f t="shared" si="15"/>
        <v>2018</v>
      </c>
      <c r="D372" s="12">
        <f t="shared" si="16"/>
        <v>11</v>
      </c>
      <c r="E372">
        <f t="shared" si="17"/>
        <v>7.4324999999999992</v>
      </c>
    </row>
    <row r="373" spans="1:5" x14ac:dyDescent="0.25">
      <c r="A373" s="13">
        <v>43420</v>
      </c>
      <c r="B373" s="12">
        <v>10.07</v>
      </c>
      <c r="C373" s="12">
        <f t="shared" si="15"/>
        <v>2018</v>
      </c>
      <c r="D373" s="12">
        <f t="shared" si="16"/>
        <v>11</v>
      </c>
      <c r="E373">
        <f t="shared" si="17"/>
        <v>7.4324999999999992</v>
      </c>
    </row>
    <row r="374" spans="1:5" x14ac:dyDescent="0.25">
      <c r="A374" s="13">
        <v>43419</v>
      </c>
      <c r="B374" s="12"/>
      <c r="C374" s="12">
        <f t="shared" si="15"/>
        <v>2018</v>
      </c>
      <c r="D374" s="12">
        <f t="shared" si="16"/>
        <v>11</v>
      </c>
      <c r="E374">
        <f t="shared" si="17"/>
        <v>7.4324999999999992</v>
      </c>
    </row>
    <row r="375" spans="1:5" x14ac:dyDescent="0.25">
      <c r="A375" s="13">
        <v>43413</v>
      </c>
      <c r="B375" s="12">
        <v>9.65</v>
      </c>
      <c r="C375" s="12">
        <f t="shared" si="15"/>
        <v>2018</v>
      </c>
      <c r="D375" s="12">
        <f t="shared" si="16"/>
        <v>11</v>
      </c>
      <c r="E375">
        <f t="shared" si="17"/>
        <v>7.4324999999999992</v>
      </c>
    </row>
    <row r="376" spans="1:5" x14ac:dyDescent="0.25">
      <c r="A376" s="13">
        <v>43406</v>
      </c>
      <c r="B376" s="12">
        <v>0</v>
      </c>
      <c r="C376" s="12">
        <f t="shared" si="15"/>
        <v>2018</v>
      </c>
      <c r="D376" s="12">
        <f t="shared" si="16"/>
        <v>11</v>
      </c>
      <c r="E376">
        <f t="shared" si="17"/>
        <v>7.4324999999999992</v>
      </c>
    </row>
    <row r="377" spans="1:5" x14ac:dyDescent="0.25">
      <c r="A377" s="13">
        <v>43399</v>
      </c>
      <c r="B377" s="12"/>
      <c r="C377" s="12">
        <f t="shared" si="15"/>
        <v>2018</v>
      </c>
      <c r="D377" s="12">
        <f t="shared" si="16"/>
        <v>10</v>
      </c>
      <c r="E377">
        <f t="shared" si="17"/>
        <v>6.253333333333333</v>
      </c>
    </row>
    <row r="378" spans="1:5" x14ac:dyDescent="0.25">
      <c r="A378" s="13">
        <v>43392</v>
      </c>
      <c r="B378" s="12">
        <v>9.48</v>
      </c>
      <c r="C378" s="12">
        <f t="shared" si="15"/>
        <v>2018</v>
      </c>
      <c r="D378" s="12">
        <f t="shared" si="16"/>
        <v>10</v>
      </c>
      <c r="E378">
        <f t="shared" si="17"/>
        <v>6.253333333333333</v>
      </c>
    </row>
    <row r="379" spans="1:5" x14ac:dyDescent="0.25">
      <c r="A379" s="13">
        <v>43388</v>
      </c>
      <c r="B379" s="12"/>
      <c r="C379" s="12">
        <f t="shared" si="15"/>
        <v>2018</v>
      </c>
      <c r="D379" s="12">
        <f t="shared" si="16"/>
        <v>10</v>
      </c>
      <c r="E379">
        <f t="shared" si="17"/>
        <v>6.253333333333333</v>
      </c>
    </row>
    <row r="380" spans="1:5" x14ac:dyDescent="0.25">
      <c r="A380" s="13">
        <v>43385</v>
      </c>
      <c r="B380" s="12">
        <v>9.2799999999999994</v>
      </c>
      <c r="C380" s="12">
        <f t="shared" si="15"/>
        <v>2018</v>
      </c>
      <c r="D380" s="12">
        <f t="shared" si="16"/>
        <v>10</v>
      </c>
      <c r="E380">
        <f t="shared" si="17"/>
        <v>6.253333333333333</v>
      </c>
    </row>
    <row r="381" spans="1:5" x14ac:dyDescent="0.25">
      <c r="A381" s="13">
        <v>43378</v>
      </c>
      <c r="B381" s="12">
        <v>0</v>
      </c>
      <c r="C381" s="12">
        <f t="shared" si="15"/>
        <v>2018</v>
      </c>
      <c r="D381" s="12">
        <f t="shared" si="16"/>
        <v>10</v>
      </c>
      <c r="E381">
        <f t="shared" si="17"/>
        <v>6.253333333333333</v>
      </c>
    </row>
    <row r="382" spans="1:5" x14ac:dyDescent="0.25">
      <c r="A382" s="13">
        <v>43371</v>
      </c>
      <c r="B382" s="12">
        <v>8.56</v>
      </c>
      <c r="C382" s="12">
        <f t="shared" si="15"/>
        <v>2018</v>
      </c>
      <c r="D382" s="12">
        <f t="shared" si="16"/>
        <v>9</v>
      </c>
      <c r="E382">
        <f t="shared" si="17"/>
        <v>5.5200000000000005</v>
      </c>
    </row>
    <row r="383" spans="1:5" x14ac:dyDescent="0.25">
      <c r="A383" s="13">
        <v>43364</v>
      </c>
      <c r="B383" s="12">
        <v>0</v>
      </c>
      <c r="C383" s="12">
        <f t="shared" si="15"/>
        <v>2018</v>
      </c>
      <c r="D383" s="12">
        <f t="shared" si="16"/>
        <v>9</v>
      </c>
      <c r="E383">
        <f t="shared" si="17"/>
        <v>5.5200000000000005</v>
      </c>
    </row>
    <row r="384" spans="1:5" x14ac:dyDescent="0.25">
      <c r="A384" s="13">
        <v>43360</v>
      </c>
      <c r="B384" s="12"/>
      <c r="C384" s="12">
        <f t="shared" si="15"/>
        <v>2018</v>
      </c>
      <c r="D384" s="12">
        <f t="shared" si="16"/>
        <v>9</v>
      </c>
      <c r="E384">
        <f t="shared" si="17"/>
        <v>5.5200000000000005</v>
      </c>
    </row>
    <row r="385" spans="1:5" x14ac:dyDescent="0.25">
      <c r="A385" s="13">
        <v>43350</v>
      </c>
      <c r="B385" s="12">
        <v>8</v>
      </c>
      <c r="C385" s="12">
        <f t="shared" si="15"/>
        <v>2018</v>
      </c>
      <c r="D385" s="12">
        <f t="shared" si="16"/>
        <v>9</v>
      </c>
      <c r="E385">
        <f t="shared" si="17"/>
        <v>5.5200000000000005</v>
      </c>
    </row>
    <row r="386" spans="1:5" x14ac:dyDescent="0.25">
      <c r="A386" s="13">
        <v>43343</v>
      </c>
      <c r="B386" s="12">
        <v>8.0299999999999994</v>
      </c>
      <c r="C386" s="12">
        <f t="shared" si="15"/>
        <v>2018</v>
      </c>
      <c r="D386" s="12">
        <f t="shared" si="16"/>
        <v>8</v>
      </c>
      <c r="E386">
        <f t="shared" si="17"/>
        <v>8.11</v>
      </c>
    </row>
    <row r="387" spans="1:5" x14ac:dyDescent="0.25">
      <c r="A387" s="13">
        <v>43336</v>
      </c>
      <c r="B387" s="12">
        <v>8.09</v>
      </c>
      <c r="C387" s="12">
        <f t="shared" ref="C387:C450" si="18">YEAR(A387)</f>
        <v>2018</v>
      </c>
      <c r="D387" s="12">
        <f t="shared" ref="D387:D450" si="19">(MONTH(A387))</f>
        <v>8</v>
      </c>
      <c r="E387">
        <f t="shared" ref="E387:E450" si="20">AVERAGEIFS($B:$B, $C:$C, C387, $D:$D, D387)</f>
        <v>8.11</v>
      </c>
    </row>
    <row r="388" spans="1:5" x14ac:dyDescent="0.25">
      <c r="A388" s="13">
        <v>43329</v>
      </c>
      <c r="B388" s="12">
        <v>8.1</v>
      </c>
      <c r="C388" s="12">
        <f t="shared" si="18"/>
        <v>2018</v>
      </c>
      <c r="D388" s="12">
        <f t="shared" si="19"/>
        <v>8</v>
      </c>
      <c r="E388">
        <f t="shared" si="20"/>
        <v>8.11</v>
      </c>
    </row>
    <row r="389" spans="1:5" x14ac:dyDescent="0.25">
      <c r="A389" s="13">
        <v>43327</v>
      </c>
      <c r="B389" s="12"/>
      <c r="C389" s="12">
        <f t="shared" si="18"/>
        <v>2018</v>
      </c>
      <c r="D389" s="12">
        <f t="shared" si="19"/>
        <v>8</v>
      </c>
      <c r="E389">
        <f t="shared" si="20"/>
        <v>8.11</v>
      </c>
    </row>
    <row r="390" spans="1:5" x14ac:dyDescent="0.25">
      <c r="A390" s="13">
        <v>43322</v>
      </c>
      <c r="B390" s="12">
        <v>8.16</v>
      </c>
      <c r="C390" s="12">
        <f t="shared" si="18"/>
        <v>2018</v>
      </c>
      <c r="D390" s="12">
        <f t="shared" si="19"/>
        <v>8</v>
      </c>
      <c r="E390">
        <f t="shared" si="20"/>
        <v>8.11</v>
      </c>
    </row>
    <row r="391" spans="1:5" x14ac:dyDescent="0.25">
      <c r="A391" s="13">
        <v>43315</v>
      </c>
      <c r="B391" s="12">
        <v>8.17</v>
      </c>
      <c r="C391" s="12">
        <f t="shared" si="18"/>
        <v>2018</v>
      </c>
      <c r="D391" s="12">
        <f t="shared" si="19"/>
        <v>8</v>
      </c>
      <c r="E391">
        <f t="shared" si="20"/>
        <v>8.11</v>
      </c>
    </row>
    <row r="392" spans="1:5" x14ac:dyDescent="0.25">
      <c r="A392" s="13">
        <v>43307</v>
      </c>
      <c r="B392" s="12">
        <v>8.24</v>
      </c>
      <c r="C392" s="12">
        <f t="shared" si="18"/>
        <v>2018</v>
      </c>
      <c r="D392" s="12">
        <f t="shared" si="19"/>
        <v>7</v>
      </c>
      <c r="E392">
        <f t="shared" si="20"/>
        <v>8.3025000000000002</v>
      </c>
    </row>
    <row r="393" spans="1:5" x14ac:dyDescent="0.25">
      <c r="A393" s="13">
        <v>43301</v>
      </c>
      <c r="B393" s="12">
        <v>8.25</v>
      </c>
      <c r="C393" s="12">
        <f t="shared" si="18"/>
        <v>2018</v>
      </c>
      <c r="D393" s="12">
        <f t="shared" si="19"/>
        <v>7</v>
      </c>
      <c r="E393">
        <f t="shared" si="20"/>
        <v>8.3025000000000002</v>
      </c>
    </row>
    <row r="394" spans="1:5" x14ac:dyDescent="0.25">
      <c r="A394" s="13">
        <v>43297</v>
      </c>
      <c r="B394" s="12"/>
      <c r="C394" s="12">
        <f t="shared" si="18"/>
        <v>2018</v>
      </c>
      <c r="D394" s="12">
        <f t="shared" si="19"/>
        <v>7</v>
      </c>
      <c r="E394">
        <f t="shared" si="20"/>
        <v>8.3025000000000002</v>
      </c>
    </row>
    <row r="395" spans="1:5" x14ac:dyDescent="0.25">
      <c r="A395" s="13">
        <v>43294</v>
      </c>
      <c r="B395" s="12">
        <v>8.3699999999999992</v>
      </c>
      <c r="C395" s="12">
        <f t="shared" si="18"/>
        <v>2018</v>
      </c>
      <c r="D395" s="12">
        <f t="shared" si="19"/>
        <v>7</v>
      </c>
      <c r="E395">
        <f t="shared" si="20"/>
        <v>8.3025000000000002</v>
      </c>
    </row>
    <row r="396" spans="1:5" x14ac:dyDescent="0.25">
      <c r="A396" s="13">
        <v>43287</v>
      </c>
      <c r="B396" s="12">
        <v>8.35</v>
      </c>
      <c r="C396" s="12">
        <f t="shared" si="18"/>
        <v>2018</v>
      </c>
      <c r="D396" s="12">
        <f t="shared" si="19"/>
        <v>7</v>
      </c>
      <c r="E396">
        <f t="shared" si="20"/>
        <v>8.3025000000000002</v>
      </c>
    </row>
    <row r="397" spans="1:5" x14ac:dyDescent="0.25">
      <c r="A397" s="13">
        <v>43280</v>
      </c>
      <c r="B397" s="12"/>
      <c r="C397" s="12">
        <f t="shared" si="18"/>
        <v>2018</v>
      </c>
      <c r="D397" s="12">
        <f t="shared" si="19"/>
        <v>6</v>
      </c>
      <c r="E397">
        <f t="shared" si="20"/>
        <v>8.3350000000000009</v>
      </c>
    </row>
    <row r="398" spans="1:5" x14ac:dyDescent="0.25">
      <c r="A398" s="13">
        <v>43273</v>
      </c>
      <c r="B398" s="12">
        <v>8.32</v>
      </c>
      <c r="C398" s="12">
        <f t="shared" si="18"/>
        <v>2018</v>
      </c>
      <c r="D398" s="12">
        <f t="shared" si="19"/>
        <v>6</v>
      </c>
      <c r="E398">
        <f t="shared" si="20"/>
        <v>8.3350000000000009</v>
      </c>
    </row>
    <row r="399" spans="1:5" x14ac:dyDescent="0.25">
      <c r="A399" s="13">
        <v>43265</v>
      </c>
      <c r="B399" s="12">
        <v>8.34</v>
      </c>
      <c r="C399" s="12">
        <f t="shared" si="18"/>
        <v>2018</v>
      </c>
      <c r="D399" s="12">
        <f t="shared" si="19"/>
        <v>6</v>
      </c>
      <c r="E399">
        <f t="shared" si="20"/>
        <v>8.3350000000000009</v>
      </c>
    </row>
    <row r="400" spans="1:5" x14ac:dyDescent="0.25">
      <c r="A400" s="13">
        <v>43259</v>
      </c>
      <c r="B400" s="12">
        <v>8.34</v>
      </c>
      <c r="C400" s="12">
        <f t="shared" si="18"/>
        <v>2018</v>
      </c>
      <c r="D400" s="12">
        <f t="shared" si="19"/>
        <v>6</v>
      </c>
      <c r="E400">
        <f t="shared" si="20"/>
        <v>8.3350000000000009</v>
      </c>
    </row>
    <row r="401" spans="1:5" x14ac:dyDescent="0.25">
      <c r="A401" s="13">
        <v>43252</v>
      </c>
      <c r="B401" s="12">
        <v>8.34</v>
      </c>
      <c r="C401" s="12">
        <f t="shared" si="18"/>
        <v>2018</v>
      </c>
      <c r="D401" s="12">
        <f t="shared" si="19"/>
        <v>6</v>
      </c>
      <c r="E401">
        <f t="shared" si="20"/>
        <v>8.3350000000000009</v>
      </c>
    </row>
    <row r="402" spans="1:5" x14ac:dyDescent="0.25">
      <c r="A402" s="13">
        <v>43245</v>
      </c>
      <c r="B402" s="12">
        <v>8.3699999999999992</v>
      </c>
      <c r="C402" s="12">
        <f t="shared" si="18"/>
        <v>2018</v>
      </c>
      <c r="D402" s="12">
        <f t="shared" si="19"/>
        <v>5</v>
      </c>
      <c r="E402">
        <f t="shared" si="20"/>
        <v>8.27</v>
      </c>
    </row>
    <row r="403" spans="1:5" x14ac:dyDescent="0.25">
      <c r="A403" s="13">
        <v>43238</v>
      </c>
      <c r="B403" s="12">
        <v>8.33</v>
      </c>
      <c r="C403" s="12">
        <f t="shared" si="18"/>
        <v>2018</v>
      </c>
      <c r="D403" s="12">
        <f t="shared" si="19"/>
        <v>5</v>
      </c>
      <c r="E403">
        <f t="shared" si="20"/>
        <v>8.27</v>
      </c>
    </row>
    <row r="404" spans="1:5" x14ac:dyDescent="0.25">
      <c r="A404" s="13">
        <v>43231</v>
      </c>
      <c r="B404" s="12">
        <v>8.11</v>
      </c>
      <c r="C404" s="12">
        <f t="shared" si="18"/>
        <v>2018</v>
      </c>
      <c r="D404" s="12">
        <f t="shared" si="19"/>
        <v>5</v>
      </c>
      <c r="E404">
        <f t="shared" si="20"/>
        <v>8.27</v>
      </c>
    </row>
    <row r="405" spans="1:5" x14ac:dyDescent="0.25">
      <c r="A405" s="13">
        <v>43224</v>
      </c>
      <c r="B405" s="12"/>
      <c r="C405" s="12">
        <f t="shared" si="18"/>
        <v>2018</v>
      </c>
      <c r="D405" s="12">
        <f t="shared" si="19"/>
        <v>5</v>
      </c>
      <c r="E405">
        <f t="shared" si="20"/>
        <v>8.27</v>
      </c>
    </row>
    <row r="406" spans="1:5" x14ac:dyDescent="0.25">
      <c r="A406" s="13">
        <v>43221</v>
      </c>
      <c r="B406" s="12"/>
      <c r="C406" s="12">
        <f t="shared" si="18"/>
        <v>2018</v>
      </c>
      <c r="D406" s="12">
        <f t="shared" si="19"/>
        <v>5</v>
      </c>
      <c r="E406">
        <f t="shared" si="20"/>
        <v>8.27</v>
      </c>
    </row>
    <row r="407" spans="1:5" x14ac:dyDescent="0.25">
      <c r="A407" s="13">
        <v>43217</v>
      </c>
      <c r="B407" s="12">
        <v>8.1</v>
      </c>
      <c r="C407" s="12">
        <f t="shared" si="18"/>
        <v>2018</v>
      </c>
      <c r="D407" s="12">
        <f t="shared" si="19"/>
        <v>4</v>
      </c>
      <c r="E407">
        <f t="shared" si="20"/>
        <v>8.125</v>
      </c>
    </row>
    <row r="408" spans="1:5" x14ac:dyDescent="0.25">
      <c r="A408" s="13">
        <v>43210</v>
      </c>
      <c r="B408" s="12">
        <v>8.15</v>
      </c>
      <c r="C408" s="12">
        <f t="shared" si="18"/>
        <v>2018</v>
      </c>
      <c r="D408" s="12">
        <f t="shared" si="19"/>
        <v>4</v>
      </c>
      <c r="E408">
        <f t="shared" si="20"/>
        <v>8.125</v>
      </c>
    </row>
    <row r="409" spans="1:5" x14ac:dyDescent="0.25">
      <c r="A409" s="13">
        <v>43203</v>
      </c>
      <c r="B409" s="12"/>
      <c r="C409" s="12">
        <f t="shared" si="18"/>
        <v>2018</v>
      </c>
      <c r="D409" s="12">
        <f t="shared" si="19"/>
        <v>4</v>
      </c>
      <c r="E409">
        <f t="shared" si="20"/>
        <v>8.125</v>
      </c>
    </row>
    <row r="410" spans="1:5" x14ac:dyDescent="0.25">
      <c r="A410" s="13">
        <v>43196</v>
      </c>
      <c r="B410" s="12"/>
      <c r="C410" s="12">
        <f t="shared" si="18"/>
        <v>2018</v>
      </c>
      <c r="D410" s="12">
        <f t="shared" si="19"/>
        <v>4</v>
      </c>
      <c r="E410">
        <f t="shared" si="20"/>
        <v>8.125</v>
      </c>
    </row>
    <row r="411" spans="1:5" x14ac:dyDescent="0.25">
      <c r="A411" s="13">
        <v>43192</v>
      </c>
      <c r="B411" s="12"/>
      <c r="C411" s="12">
        <f t="shared" si="18"/>
        <v>2018</v>
      </c>
      <c r="D411" s="12">
        <f t="shared" si="19"/>
        <v>4</v>
      </c>
      <c r="E411">
        <f t="shared" si="20"/>
        <v>8.125</v>
      </c>
    </row>
    <row r="412" spans="1:5" x14ac:dyDescent="0.25">
      <c r="A412" s="13">
        <v>43189</v>
      </c>
      <c r="B412" s="12"/>
      <c r="C412" s="12">
        <f t="shared" si="18"/>
        <v>2018</v>
      </c>
      <c r="D412" s="12">
        <f t="shared" si="19"/>
        <v>3</v>
      </c>
      <c r="E412">
        <f t="shared" si="20"/>
        <v>8.245000000000001</v>
      </c>
    </row>
    <row r="413" spans="1:5" x14ac:dyDescent="0.25">
      <c r="A413" s="13">
        <v>43182</v>
      </c>
      <c r="B413" s="12">
        <v>8.17</v>
      </c>
      <c r="C413" s="12">
        <f t="shared" si="18"/>
        <v>2018</v>
      </c>
      <c r="D413" s="12">
        <f t="shared" si="19"/>
        <v>3</v>
      </c>
      <c r="E413">
        <f t="shared" si="20"/>
        <v>8.245000000000001</v>
      </c>
    </row>
    <row r="414" spans="1:5" x14ac:dyDescent="0.25">
      <c r="A414" s="13">
        <v>43175</v>
      </c>
      <c r="B414" s="12">
        <v>8.32</v>
      </c>
      <c r="C414" s="12">
        <f t="shared" si="18"/>
        <v>2018</v>
      </c>
      <c r="D414" s="12">
        <f t="shared" si="19"/>
        <v>3</v>
      </c>
      <c r="E414">
        <f t="shared" si="20"/>
        <v>8.245000000000001</v>
      </c>
    </row>
    <row r="415" spans="1:5" x14ac:dyDescent="0.25">
      <c r="A415" s="13">
        <v>43168</v>
      </c>
      <c r="B415" s="12"/>
      <c r="C415" s="12">
        <f t="shared" si="18"/>
        <v>2018</v>
      </c>
      <c r="D415" s="12">
        <f t="shared" si="19"/>
        <v>3</v>
      </c>
      <c r="E415">
        <f t="shared" si="20"/>
        <v>8.245000000000001</v>
      </c>
    </row>
    <row r="416" spans="1:5" x14ac:dyDescent="0.25">
      <c r="A416" s="13">
        <v>43161</v>
      </c>
      <c r="B416" s="12"/>
      <c r="C416" s="12">
        <f t="shared" si="18"/>
        <v>2018</v>
      </c>
      <c r="D416" s="12">
        <f t="shared" si="19"/>
        <v>3</v>
      </c>
      <c r="E416">
        <f t="shared" si="20"/>
        <v>8.245000000000001</v>
      </c>
    </row>
    <row r="417" spans="1:5" x14ac:dyDescent="0.25">
      <c r="A417" s="13">
        <v>43154</v>
      </c>
      <c r="B417" s="12">
        <v>8.24</v>
      </c>
      <c r="C417" s="12">
        <f t="shared" si="18"/>
        <v>2018</v>
      </c>
      <c r="D417" s="12">
        <f t="shared" si="19"/>
        <v>2</v>
      </c>
      <c r="E417">
        <f t="shared" si="20"/>
        <v>8.0033333333333321</v>
      </c>
    </row>
    <row r="418" spans="1:5" x14ac:dyDescent="0.25">
      <c r="A418" s="13">
        <v>43147</v>
      </c>
      <c r="B418" s="12">
        <v>8.02</v>
      </c>
      <c r="C418" s="12">
        <f t="shared" si="18"/>
        <v>2018</v>
      </c>
      <c r="D418" s="12">
        <f t="shared" si="19"/>
        <v>2</v>
      </c>
      <c r="E418">
        <f t="shared" si="20"/>
        <v>8.0033333333333321</v>
      </c>
    </row>
    <row r="419" spans="1:5" x14ac:dyDescent="0.25">
      <c r="A419" s="13">
        <v>43140</v>
      </c>
      <c r="B419" s="12">
        <v>7.75</v>
      </c>
      <c r="C419" s="12">
        <f t="shared" si="18"/>
        <v>2018</v>
      </c>
      <c r="D419" s="12">
        <f t="shared" si="19"/>
        <v>2</v>
      </c>
      <c r="E419">
        <f t="shared" si="20"/>
        <v>8.0033333333333321</v>
      </c>
    </row>
    <row r="420" spans="1:5" x14ac:dyDescent="0.25">
      <c r="A420" s="13">
        <v>43133</v>
      </c>
      <c r="B420" s="12"/>
      <c r="C420" s="12">
        <f t="shared" si="18"/>
        <v>2018</v>
      </c>
      <c r="D420" s="12">
        <f t="shared" si="19"/>
        <v>2</v>
      </c>
      <c r="E420">
        <f t="shared" si="20"/>
        <v>8.0033333333333321</v>
      </c>
    </row>
    <row r="421" spans="1:5" x14ac:dyDescent="0.25">
      <c r="A421" s="13">
        <v>43132</v>
      </c>
      <c r="B421" s="12"/>
      <c r="C421" s="12">
        <f t="shared" si="18"/>
        <v>2018</v>
      </c>
      <c r="D421" s="12">
        <f t="shared" si="19"/>
        <v>2</v>
      </c>
      <c r="E421">
        <f t="shared" si="20"/>
        <v>8.0033333333333321</v>
      </c>
    </row>
    <row r="422" spans="1:5" x14ac:dyDescent="0.25">
      <c r="A422" s="13">
        <v>43126</v>
      </c>
      <c r="B422" s="12"/>
      <c r="C422" s="12">
        <f t="shared" si="18"/>
        <v>2018</v>
      </c>
      <c r="D422" s="12">
        <f t="shared" si="19"/>
        <v>1</v>
      </c>
      <c r="E422" t="e">
        <f t="shared" si="20"/>
        <v>#DIV/0!</v>
      </c>
    </row>
    <row r="423" spans="1:5" x14ac:dyDescent="0.25">
      <c r="A423" s="13">
        <v>43119</v>
      </c>
      <c r="B423" s="12"/>
      <c r="C423" s="12">
        <f t="shared" si="18"/>
        <v>2018</v>
      </c>
      <c r="D423" s="12">
        <f t="shared" si="19"/>
        <v>1</v>
      </c>
      <c r="E423" t="e">
        <f t="shared" si="20"/>
        <v>#DIV/0!</v>
      </c>
    </row>
    <row r="424" spans="1:5" x14ac:dyDescent="0.25">
      <c r="A424" s="13">
        <v>43112</v>
      </c>
      <c r="B424" s="12"/>
      <c r="C424" s="12">
        <f t="shared" si="18"/>
        <v>2018</v>
      </c>
      <c r="D424" s="12">
        <f t="shared" si="19"/>
        <v>1</v>
      </c>
      <c r="E424" t="e">
        <f t="shared" si="20"/>
        <v>#DIV/0!</v>
      </c>
    </row>
    <row r="425" spans="1:5" x14ac:dyDescent="0.25">
      <c r="A425" s="13">
        <v>43105</v>
      </c>
      <c r="B425" s="12"/>
      <c r="C425" s="12">
        <f t="shared" si="18"/>
        <v>2018</v>
      </c>
      <c r="D425" s="12">
        <f t="shared" si="19"/>
        <v>1</v>
      </c>
      <c r="E425" t="e">
        <f t="shared" si="20"/>
        <v>#DIV/0!</v>
      </c>
    </row>
    <row r="426" spans="1:5" x14ac:dyDescent="0.25">
      <c r="A426" s="13">
        <v>43102</v>
      </c>
      <c r="B426" s="12"/>
      <c r="C426" s="12">
        <f t="shared" si="18"/>
        <v>2018</v>
      </c>
      <c r="D426" s="12">
        <f t="shared" si="19"/>
        <v>1</v>
      </c>
      <c r="E426" t="e">
        <f t="shared" si="20"/>
        <v>#DIV/0!</v>
      </c>
    </row>
    <row r="427" spans="1:5" x14ac:dyDescent="0.25">
      <c r="A427" s="13">
        <v>43098</v>
      </c>
      <c r="B427" s="12"/>
      <c r="C427" s="12">
        <f t="shared" si="18"/>
        <v>2017</v>
      </c>
      <c r="D427" s="12">
        <f t="shared" si="19"/>
        <v>12</v>
      </c>
      <c r="E427">
        <f t="shared" si="20"/>
        <v>7.83</v>
      </c>
    </row>
    <row r="428" spans="1:5" x14ac:dyDescent="0.25">
      <c r="A428" s="13">
        <v>43091</v>
      </c>
      <c r="B428" s="12">
        <v>7.69</v>
      </c>
      <c r="C428" s="12">
        <f t="shared" si="18"/>
        <v>2017</v>
      </c>
      <c r="D428" s="12">
        <f t="shared" si="19"/>
        <v>12</v>
      </c>
      <c r="E428">
        <f t="shared" si="20"/>
        <v>7.83</v>
      </c>
    </row>
    <row r="429" spans="1:5" x14ac:dyDescent="0.25">
      <c r="A429" s="13">
        <v>43084</v>
      </c>
      <c r="B429" s="12"/>
      <c r="C429" s="12">
        <f t="shared" si="18"/>
        <v>2017</v>
      </c>
      <c r="D429" s="12">
        <f t="shared" si="19"/>
        <v>12</v>
      </c>
      <c r="E429">
        <f t="shared" si="20"/>
        <v>7.83</v>
      </c>
    </row>
    <row r="430" spans="1:5" x14ac:dyDescent="0.25">
      <c r="A430" s="13">
        <v>43077</v>
      </c>
      <c r="B430" s="12">
        <v>7.97</v>
      </c>
      <c r="C430" s="12">
        <f t="shared" si="18"/>
        <v>2017</v>
      </c>
      <c r="D430" s="12">
        <f t="shared" si="19"/>
        <v>12</v>
      </c>
      <c r="E430">
        <f t="shared" si="20"/>
        <v>7.83</v>
      </c>
    </row>
    <row r="431" spans="1:5" x14ac:dyDescent="0.25">
      <c r="A431" s="13">
        <v>43073</v>
      </c>
      <c r="B431" s="12"/>
      <c r="C431" s="12">
        <f t="shared" si="18"/>
        <v>2017</v>
      </c>
      <c r="D431" s="12">
        <f t="shared" si="19"/>
        <v>12</v>
      </c>
      <c r="E431">
        <f t="shared" si="20"/>
        <v>7.83</v>
      </c>
    </row>
    <row r="432" spans="1:5" x14ac:dyDescent="0.25">
      <c r="A432" s="13">
        <v>43069</v>
      </c>
      <c r="B432" s="12">
        <v>8.1999999999999993</v>
      </c>
      <c r="C432" s="12">
        <f t="shared" si="18"/>
        <v>2017</v>
      </c>
      <c r="D432" s="12">
        <f t="shared" si="19"/>
        <v>11</v>
      </c>
      <c r="E432">
        <f t="shared" si="20"/>
        <v>8.5120000000000005</v>
      </c>
    </row>
    <row r="433" spans="1:5" x14ac:dyDescent="0.25">
      <c r="A433" s="13">
        <v>43063</v>
      </c>
      <c r="B433" s="12">
        <v>8.4</v>
      </c>
      <c r="C433" s="12">
        <f t="shared" si="18"/>
        <v>2017</v>
      </c>
      <c r="D433" s="12">
        <f t="shared" si="19"/>
        <v>11</v>
      </c>
      <c r="E433">
        <f t="shared" si="20"/>
        <v>8.5120000000000005</v>
      </c>
    </row>
    <row r="434" spans="1:5" x14ac:dyDescent="0.25">
      <c r="A434" s="13">
        <v>43056</v>
      </c>
      <c r="B434" s="12">
        <v>8.5399999999999991</v>
      </c>
      <c r="C434" s="12">
        <f t="shared" si="18"/>
        <v>2017</v>
      </c>
      <c r="D434" s="12">
        <f t="shared" si="19"/>
        <v>11</v>
      </c>
      <c r="E434">
        <f t="shared" si="20"/>
        <v>8.5120000000000005</v>
      </c>
    </row>
    <row r="435" spans="1:5" x14ac:dyDescent="0.25">
      <c r="A435" s="13">
        <v>43049</v>
      </c>
      <c r="B435" s="12">
        <v>8.67</v>
      </c>
      <c r="C435" s="12">
        <f t="shared" si="18"/>
        <v>2017</v>
      </c>
      <c r="D435" s="12">
        <f t="shared" si="19"/>
        <v>11</v>
      </c>
      <c r="E435">
        <f t="shared" si="20"/>
        <v>8.5120000000000005</v>
      </c>
    </row>
    <row r="436" spans="1:5" x14ac:dyDescent="0.25">
      <c r="A436" s="13">
        <v>43041</v>
      </c>
      <c r="B436" s="12">
        <v>8.75</v>
      </c>
      <c r="C436" s="12">
        <f t="shared" si="18"/>
        <v>2017</v>
      </c>
      <c r="D436" s="12">
        <f t="shared" si="19"/>
        <v>11</v>
      </c>
      <c r="E436">
        <f t="shared" si="20"/>
        <v>8.5120000000000005</v>
      </c>
    </row>
    <row r="437" spans="1:5" x14ac:dyDescent="0.25">
      <c r="A437" s="13">
        <v>43040</v>
      </c>
      <c r="B437" s="12"/>
      <c r="C437" s="12">
        <f t="shared" si="18"/>
        <v>2017</v>
      </c>
      <c r="D437" s="12">
        <f t="shared" si="19"/>
        <v>11</v>
      </c>
      <c r="E437">
        <f t="shared" si="20"/>
        <v>8.5120000000000005</v>
      </c>
    </row>
    <row r="438" spans="1:5" x14ac:dyDescent="0.25">
      <c r="A438" s="13">
        <v>43035</v>
      </c>
      <c r="B438" s="12">
        <v>8.76</v>
      </c>
      <c r="C438" s="12">
        <f t="shared" si="18"/>
        <v>2017</v>
      </c>
      <c r="D438" s="12">
        <f t="shared" si="19"/>
        <v>10</v>
      </c>
      <c r="E438">
        <f t="shared" si="20"/>
        <v>8.7766666666666655</v>
      </c>
    </row>
    <row r="439" spans="1:5" x14ac:dyDescent="0.25">
      <c r="A439" s="13">
        <v>43028</v>
      </c>
      <c r="B439" s="12">
        <v>8.7899999999999991</v>
      </c>
      <c r="C439" s="12">
        <f t="shared" si="18"/>
        <v>2017</v>
      </c>
      <c r="D439" s="12">
        <f t="shared" si="19"/>
        <v>10</v>
      </c>
      <c r="E439">
        <f t="shared" si="20"/>
        <v>8.7766666666666655</v>
      </c>
    </row>
    <row r="440" spans="1:5" x14ac:dyDescent="0.25">
      <c r="A440" s="13">
        <v>43021</v>
      </c>
      <c r="B440" s="12">
        <v>8.7799999999999994</v>
      </c>
      <c r="C440" s="12">
        <f t="shared" si="18"/>
        <v>2017</v>
      </c>
      <c r="D440" s="12">
        <f t="shared" si="19"/>
        <v>10</v>
      </c>
      <c r="E440">
        <f t="shared" si="20"/>
        <v>8.7766666666666655</v>
      </c>
    </row>
    <row r="441" spans="1:5" x14ac:dyDescent="0.25">
      <c r="A441" s="13">
        <v>43014</v>
      </c>
      <c r="B441" s="12"/>
      <c r="C441" s="12">
        <f t="shared" si="18"/>
        <v>2017</v>
      </c>
      <c r="D441" s="12">
        <f t="shared" si="19"/>
        <v>10</v>
      </c>
      <c r="E441">
        <f t="shared" si="20"/>
        <v>8.7766666666666655</v>
      </c>
    </row>
    <row r="442" spans="1:5" x14ac:dyDescent="0.25">
      <c r="A442" s="13">
        <v>43010</v>
      </c>
      <c r="B442" s="12"/>
      <c r="C442" s="12">
        <f t="shared" si="18"/>
        <v>2017</v>
      </c>
      <c r="D442" s="12">
        <f t="shared" si="19"/>
        <v>10</v>
      </c>
      <c r="E442">
        <f t="shared" si="20"/>
        <v>8.7766666666666655</v>
      </c>
    </row>
    <row r="443" spans="1:5" x14ac:dyDescent="0.25">
      <c r="A443" s="13">
        <v>43007</v>
      </c>
      <c r="B443" s="12">
        <v>8.7100000000000009</v>
      </c>
      <c r="C443" s="12">
        <f t="shared" si="18"/>
        <v>2017</v>
      </c>
      <c r="D443" s="12">
        <f t="shared" si="19"/>
        <v>9</v>
      </c>
      <c r="E443">
        <f t="shared" si="20"/>
        <v>8.7100000000000009</v>
      </c>
    </row>
    <row r="444" spans="1:5" x14ac:dyDescent="0.25">
      <c r="A444" s="13">
        <v>43000</v>
      </c>
      <c r="B444" s="12"/>
      <c r="C444" s="12">
        <f t="shared" si="18"/>
        <v>2017</v>
      </c>
      <c r="D444" s="12">
        <f t="shared" si="19"/>
        <v>9</v>
      </c>
      <c r="E444">
        <f t="shared" si="20"/>
        <v>8.7100000000000009</v>
      </c>
    </row>
    <row r="445" spans="1:5" x14ac:dyDescent="0.25">
      <c r="A445" s="13">
        <v>42993</v>
      </c>
      <c r="B445" s="12"/>
      <c r="C445" s="12">
        <f t="shared" si="18"/>
        <v>2017</v>
      </c>
      <c r="D445" s="12">
        <f t="shared" si="19"/>
        <v>9</v>
      </c>
      <c r="E445">
        <f t="shared" si="20"/>
        <v>8.7100000000000009</v>
      </c>
    </row>
    <row r="446" spans="1:5" x14ac:dyDescent="0.25">
      <c r="A446" s="13">
        <v>42986</v>
      </c>
      <c r="B446" s="12"/>
      <c r="C446" s="12">
        <f t="shared" si="18"/>
        <v>2017</v>
      </c>
      <c r="D446" s="12">
        <f t="shared" si="19"/>
        <v>9</v>
      </c>
      <c r="E446">
        <f t="shared" si="20"/>
        <v>8.7100000000000009</v>
      </c>
    </row>
    <row r="447" spans="1:5" x14ac:dyDescent="0.25">
      <c r="A447" s="13">
        <v>42982</v>
      </c>
      <c r="B447" s="12"/>
      <c r="C447" s="12">
        <f t="shared" si="18"/>
        <v>2017</v>
      </c>
      <c r="D447" s="12">
        <f t="shared" si="19"/>
        <v>9</v>
      </c>
      <c r="E447">
        <f t="shared" si="20"/>
        <v>8.7100000000000009</v>
      </c>
    </row>
    <row r="448" spans="1:5" x14ac:dyDescent="0.25">
      <c r="A448" s="13">
        <v>42978</v>
      </c>
      <c r="B448" s="12"/>
      <c r="C448" s="12">
        <f t="shared" si="18"/>
        <v>2017</v>
      </c>
      <c r="D448" s="12">
        <f t="shared" si="19"/>
        <v>8</v>
      </c>
      <c r="E448">
        <f t="shared" si="20"/>
        <v>8.9499999999999993</v>
      </c>
    </row>
    <row r="449" spans="1:5" x14ac:dyDescent="0.25">
      <c r="A449" s="13">
        <v>42972</v>
      </c>
      <c r="B449" s="12"/>
      <c r="C449" s="12">
        <f t="shared" si="18"/>
        <v>2017</v>
      </c>
      <c r="D449" s="12">
        <f t="shared" si="19"/>
        <v>8</v>
      </c>
      <c r="E449">
        <f t="shared" si="20"/>
        <v>8.9499999999999993</v>
      </c>
    </row>
    <row r="450" spans="1:5" x14ac:dyDescent="0.25">
      <c r="A450" s="13">
        <v>42965</v>
      </c>
      <c r="B450" s="12"/>
      <c r="C450" s="12">
        <f t="shared" si="18"/>
        <v>2017</v>
      </c>
      <c r="D450" s="12">
        <f t="shared" si="19"/>
        <v>8</v>
      </c>
      <c r="E450">
        <f t="shared" si="20"/>
        <v>8.9499999999999993</v>
      </c>
    </row>
    <row r="451" spans="1:5" x14ac:dyDescent="0.25">
      <c r="A451" s="13">
        <v>42958</v>
      </c>
      <c r="B451" s="12">
        <v>8.8699999999999992</v>
      </c>
      <c r="C451" s="12">
        <f t="shared" ref="C451:C514" si="21">YEAR(A451)</f>
        <v>2017</v>
      </c>
      <c r="D451" s="12">
        <f t="shared" ref="D451:D514" si="22">(MONTH(A451))</f>
        <v>8</v>
      </c>
      <c r="E451">
        <f t="shared" ref="E451:E514" si="23">AVERAGEIFS($B:$B, $C:$C, C451, $D:$D, D451)</f>
        <v>8.9499999999999993</v>
      </c>
    </row>
    <row r="452" spans="1:5" x14ac:dyDescent="0.25">
      <c r="A452" s="13">
        <v>42951</v>
      </c>
      <c r="B452" s="12">
        <v>9.0299999999999994</v>
      </c>
      <c r="C452" s="12">
        <f t="shared" si="21"/>
        <v>2017</v>
      </c>
      <c r="D452" s="12">
        <f t="shared" si="22"/>
        <v>8</v>
      </c>
      <c r="E452">
        <f t="shared" si="23"/>
        <v>8.9499999999999993</v>
      </c>
    </row>
    <row r="453" spans="1:5" x14ac:dyDescent="0.25">
      <c r="A453" s="13">
        <v>42948</v>
      </c>
      <c r="B453" s="12"/>
      <c r="C453" s="12">
        <f t="shared" si="21"/>
        <v>2017</v>
      </c>
      <c r="D453" s="12">
        <f t="shared" si="22"/>
        <v>8</v>
      </c>
      <c r="E453">
        <f t="shared" si="23"/>
        <v>8.9499999999999993</v>
      </c>
    </row>
    <row r="454" spans="1:5" x14ac:dyDescent="0.25">
      <c r="A454" s="13">
        <v>42944</v>
      </c>
      <c r="B454" s="12">
        <v>9.44</v>
      </c>
      <c r="C454" s="12">
        <f t="shared" si="21"/>
        <v>2017</v>
      </c>
      <c r="D454" s="12">
        <f t="shared" si="22"/>
        <v>7</v>
      </c>
      <c r="E454">
        <f t="shared" si="23"/>
        <v>9.5500000000000007</v>
      </c>
    </row>
    <row r="455" spans="1:5" x14ac:dyDescent="0.25">
      <c r="A455" s="13">
        <v>42937</v>
      </c>
      <c r="B455" s="12">
        <v>9.56</v>
      </c>
      <c r="C455" s="12">
        <f t="shared" si="21"/>
        <v>2017</v>
      </c>
      <c r="D455" s="12">
        <f t="shared" si="22"/>
        <v>7</v>
      </c>
      <c r="E455">
        <f t="shared" si="23"/>
        <v>9.5500000000000007</v>
      </c>
    </row>
    <row r="456" spans="1:5" x14ac:dyDescent="0.25">
      <c r="A456" s="13">
        <v>42933</v>
      </c>
      <c r="B456" s="12"/>
      <c r="C456" s="12">
        <f t="shared" si="21"/>
        <v>2017</v>
      </c>
      <c r="D456" s="12">
        <f t="shared" si="22"/>
        <v>7</v>
      </c>
      <c r="E456">
        <f t="shared" si="23"/>
        <v>9.5500000000000007</v>
      </c>
    </row>
    <row r="457" spans="1:5" x14ac:dyDescent="0.25">
      <c r="A457" s="13">
        <v>42930</v>
      </c>
      <c r="B457" s="12">
        <v>9.6</v>
      </c>
      <c r="C457" s="12">
        <f t="shared" si="21"/>
        <v>2017</v>
      </c>
      <c r="D457" s="12">
        <f t="shared" si="22"/>
        <v>7</v>
      </c>
      <c r="E457">
        <f t="shared" si="23"/>
        <v>9.5500000000000007</v>
      </c>
    </row>
    <row r="458" spans="1:5" x14ac:dyDescent="0.25">
      <c r="A458" s="13">
        <v>42923</v>
      </c>
      <c r="B458" s="12">
        <v>9.6</v>
      </c>
      <c r="C458" s="12">
        <f t="shared" si="21"/>
        <v>2017</v>
      </c>
      <c r="D458" s="12">
        <f t="shared" si="22"/>
        <v>7</v>
      </c>
      <c r="E458">
        <f t="shared" si="23"/>
        <v>9.5500000000000007</v>
      </c>
    </row>
    <row r="459" spans="1:5" x14ac:dyDescent="0.25">
      <c r="A459" s="13">
        <v>42916</v>
      </c>
      <c r="B459" s="12">
        <v>9.6</v>
      </c>
      <c r="C459" s="12">
        <f t="shared" si="21"/>
        <v>2017</v>
      </c>
      <c r="D459" s="12">
        <f t="shared" si="22"/>
        <v>6</v>
      </c>
      <c r="E459">
        <f t="shared" si="23"/>
        <v>9.6020000000000003</v>
      </c>
    </row>
    <row r="460" spans="1:5" x14ac:dyDescent="0.25">
      <c r="A460" s="13">
        <v>42909</v>
      </c>
      <c r="B460" s="12">
        <v>9.6</v>
      </c>
      <c r="C460" s="12">
        <f t="shared" si="21"/>
        <v>2017</v>
      </c>
      <c r="D460" s="12">
        <f t="shared" si="22"/>
        <v>6</v>
      </c>
      <c r="E460">
        <f t="shared" si="23"/>
        <v>9.6020000000000003</v>
      </c>
    </row>
    <row r="461" spans="1:5" x14ac:dyDescent="0.25">
      <c r="A461" s="13">
        <v>42902</v>
      </c>
      <c r="B461" s="12">
        <v>9.6</v>
      </c>
      <c r="C461" s="12">
        <f t="shared" si="21"/>
        <v>2017</v>
      </c>
      <c r="D461" s="12">
        <f t="shared" si="22"/>
        <v>6</v>
      </c>
      <c r="E461">
        <f t="shared" si="23"/>
        <v>9.6020000000000003</v>
      </c>
    </row>
    <row r="462" spans="1:5" x14ac:dyDescent="0.25">
      <c r="A462" s="13">
        <v>42901</v>
      </c>
      <c r="B462" s="12"/>
      <c r="C462" s="12">
        <f t="shared" si="21"/>
        <v>2017</v>
      </c>
      <c r="D462" s="12">
        <f t="shared" si="22"/>
        <v>6</v>
      </c>
      <c r="E462">
        <f t="shared" si="23"/>
        <v>9.6020000000000003</v>
      </c>
    </row>
    <row r="463" spans="1:5" x14ac:dyDescent="0.25">
      <c r="A463" s="13">
        <v>42895</v>
      </c>
      <c r="B463" s="12">
        <v>9.6</v>
      </c>
      <c r="C463" s="12">
        <f t="shared" si="21"/>
        <v>2017</v>
      </c>
      <c r="D463" s="12">
        <f t="shared" si="22"/>
        <v>6</v>
      </c>
      <c r="E463">
        <f t="shared" si="23"/>
        <v>9.6020000000000003</v>
      </c>
    </row>
    <row r="464" spans="1:5" x14ac:dyDescent="0.25">
      <c r="A464" s="13">
        <v>42888</v>
      </c>
      <c r="B464" s="12">
        <v>9.61</v>
      </c>
      <c r="C464" s="12">
        <f t="shared" si="21"/>
        <v>2017</v>
      </c>
      <c r="D464" s="12">
        <f t="shared" si="22"/>
        <v>6</v>
      </c>
      <c r="E464">
        <f t="shared" si="23"/>
        <v>9.6020000000000003</v>
      </c>
    </row>
    <row r="465" spans="1:5" x14ac:dyDescent="0.25">
      <c r="A465" s="13">
        <v>42879</v>
      </c>
      <c r="B465" s="12">
        <v>9.6199999999999992</v>
      </c>
      <c r="C465" s="12">
        <f t="shared" si="21"/>
        <v>2017</v>
      </c>
      <c r="D465" s="12">
        <f t="shared" si="22"/>
        <v>5</v>
      </c>
      <c r="E465">
        <f t="shared" si="23"/>
        <v>9.6199999999999992</v>
      </c>
    </row>
    <row r="466" spans="1:5" x14ac:dyDescent="0.25">
      <c r="A466" s="13">
        <v>42870</v>
      </c>
      <c r="B466" s="12"/>
      <c r="C466" s="12">
        <f t="shared" si="21"/>
        <v>2017</v>
      </c>
      <c r="D466" s="12">
        <f t="shared" si="22"/>
        <v>5</v>
      </c>
      <c r="E466">
        <f t="shared" si="23"/>
        <v>9.6199999999999992</v>
      </c>
    </row>
    <row r="467" spans="1:5" x14ac:dyDescent="0.25">
      <c r="A467" s="13">
        <v>42867</v>
      </c>
      <c r="B467" s="12"/>
      <c r="C467" s="12">
        <f t="shared" si="21"/>
        <v>2017</v>
      </c>
      <c r="D467" s="12">
        <f t="shared" si="22"/>
        <v>5</v>
      </c>
      <c r="E467">
        <f t="shared" si="23"/>
        <v>9.6199999999999992</v>
      </c>
    </row>
    <row r="468" spans="1:5" x14ac:dyDescent="0.25">
      <c r="A468" s="13">
        <v>42860</v>
      </c>
      <c r="B468" s="12"/>
      <c r="C468" s="12">
        <f t="shared" si="21"/>
        <v>2017</v>
      </c>
      <c r="D468" s="12">
        <f t="shared" si="22"/>
        <v>5</v>
      </c>
      <c r="E468">
        <f t="shared" si="23"/>
        <v>9.6199999999999992</v>
      </c>
    </row>
    <row r="469" spans="1:5" x14ac:dyDescent="0.25">
      <c r="A469" s="13">
        <v>42857</v>
      </c>
      <c r="B469" s="12"/>
      <c r="C469" s="12">
        <f t="shared" si="21"/>
        <v>2017</v>
      </c>
      <c r="D469" s="12">
        <f t="shared" si="22"/>
        <v>5</v>
      </c>
      <c r="E469">
        <f t="shared" si="23"/>
        <v>9.6199999999999992</v>
      </c>
    </row>
    <row r="470" spans="1:5" x14ac:dyDescent="0.25">
      <c r="A470" s="13">
        <v>42853</v>
      </c>
      <c r="B470" s="12"/>
      <c r="C470" s="12">
        <f t="shared" si="21"/>
        <v>2017</v>
      </c>
      <c r="D470" s="12">
        <f t="shared" si="22"/>
        <v>4</v>
      </c>
      <c r="E470">
        <f t="shared" si="23"/>
        <v>9.7066666666666688</v>
      </c>
    </row>
    <row r="471" spans="1:5" x14ac:dyDescent="0.25">
      <c r="A471" s="13">
        <v>42846</v>
      </c>
      <c r="B471" s="12">
        <v>9.73</v>
      </c>
      <c r="C471" s="12">
        <f t="shared" si="21"/>
        <v>2017</v>
      </c>
      <c r="D471" s="12">
        <f t="shared" si="22"/>
        <v>4</v>
      </c>
      <c r="E471">
        <f t="shared" si="23"/>
        <v>9.7066666666666688</v>
      </c>
    </row>
    <row r="472" spans="1:5" x14ac:dyDescent="0.25">
      <c r="A472" s="13">
        <v>42837</v>
      </c>
      <c r="B472" s="12">
        <v>9.7200000000000006</v>
      </c>
      <c r="C472" s="12">
        <f t="shared" si="21"/>
        <v>2017</v>
      </c>
      <c r="D472" s="12">
        <f t="shared" si="22"/>
        <v>4</v>
      </c>
      <c r="E472">
        <f t="shared" si="23"/>
        <v>9.7066666666666688</v>
      </c>
    </row>
    <row r="473" spans="1:5" x14ac:dyDescent="0.25">
      <c r="A473" s="13">
        <v>42832</v>
      </c>
      <c r="B473" s="12">
        <v>9.67</v>
      </c>
      <c r="C473" s="12">
        <f t="shared" si="21"/>
        <v>2017</v>
      </c>
      <c r="D473" s="12">
        <f t="shared" si="22"/>
        <v>4</v>
      </c>
      <c r="E473">
        <f t="shared" si="23"/>
        <v>9.7066666666666688</v>
      </c>
    </row>
    <row r="474" spans="1:5" x14ac:dyDescent="0.25">
      <c r="A474" s="13">
        <v>42825</v>
      </c>
      <c r="B474" s="12">
        <v>9.6300000000000008</v>
      </c>
      <c r="C474" s="12">
        <f t="shared" si="21"/>
        <v>2017</v>
      </c>
      <c r="D474" s="12">
        <f t="shared" si="22"/>
        <v>3</v>
      </c>
      <c r="E474">
        <f t="shared" si="23"/>
        <v>9.5125000000000011</v>
      </c>
    </row>
    <row r="475" spans="1:5" x14ac:dyDescent="0.25">
      <c r="A475" s="13">
        <v>42818</v>
      </c>
      <c r="B475" s="12">
        <v>9.57</v>
      </c>
      <c r="C475" s="12">
        <f t="shared" si="21"/>
        <v>2017</v>
      </c>
      <c r="D475" s="12">
        <f t="shared" si="22"/>
        <v>3</v>
      </c>
      <c r="E475">
        <f t="shared" si="23"/>
        <v>9.5125000000000011</v>
      </c>
    </row>
    <row r="476" spans="1:5" x14ac:dyDescent="0.25">
      <c r="A476" s="13">
        <v>42809</v>
      </c>
      <c r="B476" s="12"/>
      <c r="C476" s="12">
        <f t="shared" si="21"/>
        <v>2017</v>
      </c>
      <c r="D476" s="12">
        <f t="shared" si="22"/>
        <v>3</v>
      </c>
      <c r="E476">
        <f t="shared" si="23"/>
        <v>9.5125000000000011</v>
      </c>
    </row>
    <row r="477" spans="1:5" x14ac:dyDescent="0.25">
      <c r="A477" s="13">
        <v>42804</v>
      </c>
      <c r="B477" s="12">
        <v>9.4700000000000006</v>
      </c>
      <c r="C477" s="12">
        <f t="shared" si="21"/>
        <v>2017</v>
      </c>
      <c r="D477" s="12">
        <f t="shared" si="22"/>
        <v>3</v>
      </c>
      <c r="E477">
        <f t="shared" si="23"/>
        <v>9.5125000000000011</v>
      </c>
    </row>
    <row r="478" spans="1:5" x14ac:dyDescent="0.25">
      <c r="A478" s="13">
        <v>42797</v>
      </c>
      <c r="B478" s="12">
        <v>9.3800000000000008</v>
      </c>
      <c r="C478" s="12">
        <f t="shared" si="21"/>
        <v>2017</v>
      </c>
      <c r="D478" s="12">
        <f t="shared" si="22"/>
        <v>3</v>
      </c>
      <c r="E478">
        <f t="shared" si="23"/>
        <v>9.5125000000000011</v>
      </c>
    </row>
    <row r="479" spans="1:5" x14ac:dyDescent="0.25">
      <c r="A479" s="13">
        <v>42795</v>
      </c>
      <c r="B479" s="12"/>
      <c r="C479" s="12">
        <f t="shared" si="21"/>
        <v>2017</v>
      </c>
      <c r="D479" s="12">
        <f t="shared" si="22"/>
        <v>3</v>
      </c>
      <c r="E479">
        <f t="shared" si="23"/>
        <v>9.5125000000000011</v>
      </c>
    </row>
    <row r="480" spans="1:5" x14ac:dyDescent="0.25">
      <c r="A480" s="13">
        <v>42789</v>
      </c>
      <c r="B480" s="12">
        <v>9.32</v>
      </c>
      <c r="C480" s="12">
        <f t="shared" si="21"/>
        <v>2017</v>
      </c>
      <c r="D480" s="12">
        <f t="shared" si="22"/>
        <v>2</v>
      </c>
      <c r="E480">
        <f t="shared" si="23"/>
        <v>9.1950000000000003</v>
      </c>
    </row>
    <row r="481" spans="1:5" x14ac:dyDescent="0.25">
      <c r="A481" s="13">
        <v>42783</v>
      </c>
      <c r="B481" s="12">
        <v>9.2200000000000006</v>
      </c>
      <c r="C481" s="12">
        <f t="shared" si="21"/>
        <v>2017</v>
      </c>
      <c r="D481" s="12">
        <f t="shared" si="22"/>
        <v>2</v>
      </c>
      <c r="E481">
        <f t="shared" si="23"/>
        <v>9.1950000000000003</v>
      </c>
    </row>
    <row r="482" spans="1:5" x14ac:dyDescent="0.25">
      <c r="A482" s="13">
        <v>42775</v>
      </c>
      <c r="B482" s="12">
        <v>9.16</v>
      </c>
      <c r="C482" s="12">
        <f t="shared" si="21"/>
        <v>2017</v>
      </c>
      <c r="D482" s="12">
        <f t="shared" si="22"/>
        <v>2</v>
      </c>
      <c r="E482">
        <f t="shared" si="23"/>
        <v>9.1950000000000003</v>
      </c>
    </row>
    <row r="483" spans="1:5" x14ac:dyDescent="0.25">
      <c r="A483" s="13">
        <v>42769</v>
      </c>
      <c r="B483" s="12">
        <v>9.08</v>
      </c>
      <c r="C483" s="12">
        <f t="shared" si="21"/>
        <v>2017</v>
      </c>
      <c r="D483" s="12">
        <f t="shared" si="22"/>
        <v>2</v>
      </c>
      <c r="E483">
        <f t="shared" si="23"/>
        <v>9.1950000000000003</v>
      </c>
    </row>
    <row r="484" spans="1:5" x14ac:dyDescent="0.25">
      <c r="A484" s="13">
        <v>42767</v>
      </c>
      <c r="B484" s="12"/>
      <c r="C484" s="12">
        <f t="shared" si="21"/>
        <v>2017</v>
      </c>
      <c r="D484" s="12">
        <f t="shared" si="22"/>
        <v>2</v>
      </c>
      <c r="E484">
        <f t="shared" si="23"/>
        <v>9.1950000000000003</v>
      </c>
    </row>
    <row r="485" spans="1:5" x14ac:dyDescent="0.25">
      <c r="A485" s="13">
        <v>42762</v>
      </c>
      <c r="B485" s="12">
        <v>9.0299999999999994</v>
      </c>
      <c r="C485" s="12">
        <f t="shared" si="21"/>
        <v>2017</v>
      </c>
      <c r="D485" s="12">
        <f t="shared" si="22"/>
        <v>1</v>
      </c>
      <c r="E485">
        <f t="shared" si="23"/>
        <v>8.94</v>
      </c>
    </row>
    <row r="486" spans="1:5" x14ac:dyDescent="0.25">
      <c r="A486" s="13">
        <v>42755</v>
      </c>
      <c r="B486" s="12">
        <v>8.98</v>
      </c>
      <c r="C486" s="12">
        <f t="shared" si="21"/>
        <v>2017</v>
      </c>
      <c r="D486" s="12">
        <f t="shared" si="22"/>
        <v>1</v>
      </c>
      <c r="E486">
        <f t="shared" si="23"/>
        <v>8.94</v>
      </c>
    </row>
    <row r="487" spans="1:5" x14ac:dyDescent="0.25">
      <c r="A487" s="13">
        <v>42751</v>
      </c>
      <c r="B487" s="12"/>
      <c r="C487" s="12">
        <f t="shared" si="21"/>
        <v>2017</v>
      </c>
      <c r="D487" s="12">
        <f t="shared" si="22"/>
        <v>1</v>
      </c>
      <c r="E487">
        <f t="shared" si="23"/>
        <v>8.94</v>
      </c>
    </row>
    <row r="488" spans="1:5" x14ac:dyDescent="0.25">
      <c r="A488" s="13">
        <v>42748</v>
      </c>
      <c r="B488" s="12">
        <v>8.9700000000000006</v>
      </c>
      <c r="C488" s="12">
        <f t="shared" si="21"/>
        <v>2017</v>
      </c>
      <c r="D488" s="12">
        <f t="shared" si="22"/>
        <v>1</v>
      </c>
      <c r="E488">
        <f t="shared" si="23"/>
        <v>8.94</v>
      </c>
    </row>
    <row r="489" spans="1:5" x14ac:dyDescent="0.25">
      <c r="A489" s="13">
        <v>42741</v>
      </c>
      <c r="B489" s="12">
        <v>8.7799999999999994</v>
      </c>
      <c r="C489" s="12">
        <f t="shared" si="21"/>
        <v>2017</v>
      </c>
      <c r="D489" s="12">
        <f t="shared" si="22"/>
        <v>1</v>
      </c>
      <c r="E489">
        <f t="shared" si="23"/>
        <v>8.94</v>
      </c>
    </row>
    <row r="490" spans="1:5" x14ac:dyDescent="0.25">
      <c r="A490" s="13">
        <v>42737</v>
      </c>
      <c r="B490" s="12"/>
      <c r="C490" s="12">
        <f t="shared" si="21"/>
        <v>2017</v>
      </c>
      <c r="D490" s="12">
        <f t="shared" si="22"/>
        <v>1</v>
      </c>
      <c r="E490">
        <f t="shared" si="23"/>
        <v>8.94</v>
      </c>
    </row>
    <row r="491" spans="1:5" x14ac:dyDescent="0.25">
      <c r="A491" s="13">
        <v>42734</v>
      </c>
      <c r="B491" s="12">
        <v>8.7200000000000006</v>
      </c>
      <c r="C491" s="12">
        <f t="shared" si="21"/>
        <v>2016</v>
      </c>
      <c r="D491" s="12">
        <f t="shared" si="22"/>
        <v>12</v>
      </c>
      <c r="E491">
        <f t="shared" si="23"/>
        <v>8.6425000000000001</v>
      </c>
    </row>
    <row r="492" spans="1:5" x14ac:dyDescent="0.25">
      <c r="A492" s="13">
        <v>42727</v>
      </c>
      <c r="B492" s="12">
        <v>8.65</v>
      </c>
      <c r="C492" s="12">
        <f t="shared" si="21"/>
        <v>2016</v>
      </c>
      <c r="D492" s="12">
        <f t="shared" si="22"/>
        <v>12</v>
      </c>
      <c r="E492">
        <f t="shared" si="23"/>
        <v>8.6425000000000001</v>
      </c>
    </row>
    <row r="493" spans="1:5" x14ac:dyDescent="0.25">
      <c r="A493" s="13">
        <v>42720</v>
      </c>
      <c r="B493" s="12"/>
      <c r="C493" s="12">
        <f t="shared" si="21"/>
        <v>2016</v>
      </c>
      <c r="D493" s="12">
        <f t="shared" si="22"/>
        <v>12</v>
      </c>
      <c r="E493">
        <f t="shared" si="23"/>
        <v>8.6425000000000001</v>
      </c>
    </row>
    <row r="494" spans="1:5" x14ac:dyDescent="0.25">
      <c r="A494" s="13">
        <v>42713</v>
      </c>
      <c r="B494" s="12">
        <v>8.6</v>
      </c>
      <c r="C494" s="12">
        <f t="shared" si="21"/>
        <v>2016</v>
      </c>
      <c r="D494" s="12">
        <f t="shared" si="22"/>
        <v>12</v>
      </c>
      <c r="E494">
        <f t="shared" si="23"/>
        <v>8.6425000000000001</v>
      </c>
    </row>
    <row r="495" spans="1:5" x14ac:dyDescent="0.25">
      <c r="A495" s="13">
        <v>42706</v>
      </c>
      <c r="B495" s="12">
        <v>8.6</v>
      </c>
      <c r="C495" s="12">
        <f t="shared" si="21"/>
        <v>2016</v>
      </c>
      <c r="D495" s="12">
        <f t="shared" si="22"/>
        <v>12</v>
      </c>
      <c r="E495">
        <f t="shared" si="23"/>
        <v>8.6425000000000001</v>
      </c>
    </row>
    <row r="496" spans="1:5" x14ac:dyDescent="0.25">
      <c r="A496" s="13">
        <v>42699</v>
      </c>
      <c r="B496" s="12">
        <v>8.6</v>
      </c>
      <c r="C496" s="12">
        <f t="shared" si="21"/>
        <v>2016</v>
      </c>
      <c r="D496" s="12">
        <f t="shared" si="22"/>
        <v>11</v>
      </c>
      <c r="E496">
        <f t="shared" si="23"/>
        <v>8.6</v>
      </c>
    </row>
    <row r="497" spans="1:5" x14ac:dyDescent="0.25">
      <c r="A497" s="13">
        <v>42692</v>
      </c>
      <c r="B497" s="12">
        <v>8.6</v>
      </c>
      <c r="C497" s="12">
        <f t="shared" si="21"/>
        <v>2016</v>
      </c>
      <c r="D497" s="12">
        <f t="shared" si="22"/>
        <v>11</v>
      </c>
      <c r="E497">
        <f t="shared" si="23"/>
        <v>8.6</v>
      </c>
    </row>
    <row r="498" spans="1:5" x14ac:dyDescent="0.25">
      <c r="A498" s="13">
        <v>42685</v>
      </c>
      <c r="B498" s="12">
        <v>8.6</v>
      </c>
      <c r="C498" s="12">
        <f t="shared" si="21"/>
        <v>2016</v>
      </c>
      <c r="D498" s="12">
        <f t="shared" si="22"/>
        <v>11</v>
      </c>
      <c r="E498">
        <f t="shared" si="23"/>
        <v>8.6</v>
      </c>
    </row>
    <row r="499" spans="1:5" x14ac:dyDescent="0.25">
      <c r="A499" s="13">
        <v>42678</v>
      </c>
      <c r="B499" s="12">
        <v>8.6</v>
      </c>
      <c r="C499" s="12">
        <f t="shared" si="21"/>
        <v>2016</v>
      </c>
      <c r="D499" s="12">
        <f t="shared" si="22"/>
        <v>11</v>
      </c>
      <c r="E499">
        <f t="shared" si="23"/>
        <v>8.6</v>
      </c>
    </row>
    <row r="500" spans="1:5" x14ac:dyDescent="0.25">
      <c r="A500" s="13">
        <v>42671</v>
      </c>
      <c r="B500" s="12"/>
      <c r="C500" s="12">
        <f t="shared" si="21"/>
        <v>2016</v>
      </c>
      <c r="D500" s="12">
        <f t="shared" si="22"/>
        <v>10</v>
      </c>
      <c r="E500">
        <f t="shared" si="23"/>
        <v>8.5749999999999993</v>
      </c>
    </row>
    <row r="501" spans="1:5" x14ac:dyDescent="0.25">
      <c r="A501" s="13">
        <v>42664</v>
      </c>
      <c r="B501" s="12">
        <v>8.6</v>
      </c>
      <c r="C501" s="12">
        <f t="shared" si="21"/>
        <v>2016</v>
      </c>
      <c r="D501" s="12">
        <f t="shared" si="22"/>
        <v>10</v>
      </c>
      <c r="E501">
        <f t="shared" si="23"/>
        <v>8.5749999999999993</v>
      </c>
    </row>
    <row r="502" spans="1:5" x14ac:dyDescent="0.25">
      <c r="A502" s="13">
        <v>42650</v>
      </c>
      <c r="B502" s="12">
        <v>8.5500000000000007</v>
      </c>
      <c r="C502" s="12">
        <f t="shared" si="21"/>
        <v>2016</v>
      </c>
      <c r="D502" s="12">
        <f t="shared" si="22"/>
        <v>10</v>
      </c>
      <c r="E502">
        <f t="shared" si="23"/>
        <v>8.5749999999999993</v>
      </c>
    </row>
    <row r="503" spans="1:5" x14ac:dyDescent="0.25">
      <c r="A503" s="13">
        <v>42646</v>
      </c>
      <c r="B503" s="12"/>
      <c r="C503" s="12">
        <f t="shared" si="21"/>
        <v>2016</v>
      </c>
      <c r="D503" s="12">
        <f t="shared" si="22"/>
        <v>10</v>
      </c>
      <c r="E503">
        <f t="shared" si="23"/>
        <v>8.5749999999999993</v>
      </c>
    </row>
    <row r="504" spans="1:5" x14ac:dyDescent="0.25">
      <c r="A504" s="13">
        <v>42643</v>
      </c>
      <c r="B504" s="12">
        <v>8.5500000000000007</v>
      </c>
      <c r="C504" s="12">
        <f t="shared" si="21"/>
        <v>2016</v>
      </c>
      <c r="D504" s="12">
        <f t="shared" si="22"/>
        <v>9</v>
      </c>
      <c r="E504">
        <f t="shared" si="23"/>
        <v>8.76</v>
      </c>
    </row>
    <row r="505" spans="1:5" x14ac:dyDescent="0.25">
      <c r="A505" s="13">
        <v>42636</v>
      </c>
      <c r="B505" s="12">
        <v>8.7100000000000009</v>
      </c>
      <c r="C505" s="12">
        <f t="shared" si="21"/>
        <v>2016</v>
      </c>
      <c r="D505" s="12">
        <f t="shared" si="22"/>
        <v>9</v>
      </c>
      <c r="E505">
        <f t="shared" si="23"/>
        <v>8.76</v>
      </c>
    </row>
    <row r="506" spans="1:5" x14ac:dyDescent="0.25">
      <c r="A506" s="13">
        <v>42629</v>
      </c>
      <c r="B506" s="12"/>
      <c r="C506" s="12">
        <f t="shared" si="21"/>
        <v>2016</v>
      </c>
      <c r="D506" s="12">
        <f t="shared" si="22"/>
        <v>9</v>
      </c>
      <c r="E506">
        <f t="shared" si="23"/>
        <v>8.76</v>
      </c>
    </row>
    <row r="507" spans="1:5" x14ac:dyDescent="0.25">
      <c r="A507" s="13">
        <v>42622</v>
      </c>
      <c r="B507" s="12">
        <v>8.75</v>
      </c>
      <c r="C507" s="12">
        <f t="shared" si="21"/>
        <v>2016</v>
      </c>
      <c r="D507" s="12">
        <f t="shared" si="22"/>
        <v>9</v>
      </c>
      <c r="E507">
        <f t="shared" si="23"/>
        <v>8.76</v>
      </c>
    </row>
    <row r="508" spans="1:5" x14ac:dyDescent="0.25">
      <c r="A508" s="13">
        <v>42615</v>
      </c>
      <c r="B508" s="12">
        <v>9.0299999999999994</v>
      </c>
      <c r="C508" s="12">
        <f t="shared" si="21"/>
        <v>2016</v>
      </c>
      <c r="D508" s="12">
        <f t="shared" si="22"/>
        <v>9</v>
      </c>
      <c r="E508">
        <f t="shared" si="23"/>
        <v>8.76</v>
      </c>
    </row>
    <row r="509" spans="1:5" x14ac:dyDescent="0.25">
      <c r="A509" s="13">
        <v>42614</v>
      </c>
      <c r="B509" s="12"/>
      <c r="C509" s="12">
        <f t="shared" si="21"/>
        <v>2016</v>
      </c>
      <c r="D509" s="12">
        <f t="shared" si="22"/>
        <v>9</v>
      </c>
      <c r="E509">
        <f t="shared" si="23"/>
        <v>8.76</v>
      </c>
    </row>
    <row r="510" spans="1:5" x14ac:dyDescent="0.25">
      <c r="A510" s="13">
        <v>42608</v>
      </c>
      <c r="B510" s="12">
        <v>9.0399999999999991</v>
      </c>
      <c r="C510" s="12">
        <f t="shared" si="21"/>
        <v>2016</v>
      </c>
      <c r="D510" s="12">
        <f t="shared" si="22"/>
        <v>8</v>
      </c>
      <c r="E510">
        <f t="shared" si="23"/>
        <v>9.0124999999999993</v>
      </c>
    </row>
    <row r="511" spans="1:5" x14ac:dyDescent="0.25">
      <c r="A511" s="13">
        <v>42601</v>
      </c>
      <c r="B511" s="12">
        <v>9.01</v>
      </c>
      <c r="C511" s="12">
        <f t="shared" si="21"/>
        <v>2016</v>
      </c>
      <c r="D511" s="12">
        <f t="shared" si="22"/>
        <v>8</v>
      </c>
      <c r="E511">
        <f t="shared" si="23"/>
        <v>9.0124999999999993</v>
      </c>
    </row>
    <row r="512" spans="1:5" x14ac:dyDescent="0.25">
      <c r="A512" s="13">
        <v>42594</v>
      </c>
      <c r="B512" s="12">
        <v>9.01</v>
      </c>
      <c r="C512" s="12">
        <f t="shared" si="21"/>
        <v>2016</v>
      </c>
      <c r="D512" s="12">
        <f t="shared" si="22"/>
        <v>8</v>
      </c>
      <c r="E512">
        <f t="shared" si="23"/>
        <v>9.0124999999999993</v>
      </c>
    </row>
    <row r="513" spans="1:5" x14ac:dyDescent="0.25">
      <c r="A513" s="13">
        <v>42587</v>
      </c>
      <c r="B513" s="12">
        <v>8.99</v>
      </c>
      <c r="C513" s="12">
        <f t="shared" si="21"/>
        <v>2016</v>
      </c>
      <c r="D513" s="12">
        <f t="shared" si="22"/>
        <v>8</v>
      </c>
      <c r="E513">
        <f t="shared" si="23"/>
        <v>9.0124999999999993</v>
      </c>
    </row>
    <row r="514" spans="1:5" x14ac:dyDescent="0.25">
      <c r="A514" s="13">
        <v>42583</v>
      </c>
      <c r="B514" s="12"/>
      <c r="C514" s="12">
        <f t="shared" si="21"/>
        <v>2016</v>
      </c>
      <c r="D514" s="12">
        <f t="shared" si="22"/>
        <v>8</v>
      </c>
      <c r="E514">
        <f t="shared" si="23"/>
        <v>9.0124999999999993</v>
      </c>
    </row>
    <row r="515" spans="1:5" x14ac:dyDescent="0.25">
      <c r="A515" s="13">
        <v>42580</v>
      </c>
      <c r="B515" s="12"/>
      <c r="C515" s="12">
        <f t="shared" ref="C515:C578" si="24">YEAR(A515)</f>
        <v>2016</v>
      </c>
      <c r="D515" s="12">
        <f t="shared" ref="D515:D578" si="25">(MONTH(A515))</f>
        <v>7</v>
      </c>
      <c r="E515">
        <f t="shared" ref="E515:E578" si="26">AVERAGEIFS($B:$B, $C:$C, C515, $D:$D, D515)</f>
        <v>8.8500000000000014</v>
      </c>
    </row>
    <row r="516" spans="1:5" x14ac:dyDescent="0.25">
      <c r="A516" s="13">
        <v>42573</v>
      </c>
      <c r="B516" s="12">
        <v>8.8000000000000007</v>
      </c>
      <c r="C516" s="12">
        <f t="shared" si="24"/>
        <v>2016</v>
      </c>
      <c r="D516" s="12">
        <f t="shared" si="25"/>
        <v>7</v>
      </c>
      <c r="E516">
        <f t="shared" si="26"/>
        <v>8.8500000000000014</v>
      </c>
    </row>
    <row r="517" spans="1:5" x14ac:dyDescent="0.25">
      <c r="A517" s="13">
        <v>42571</v>
      </c>
      <c r="B517" s="12"/>
      <c r="C517" s="12">
        <f t="shared" si="24"/>
        <v>2016</v>
      </c>
      <c r="D517" s="12">
        <f t="shared" si="25"/>
        <v>7</v>
      </c>
      <c r="E517">
        <f t="shared" si="26"/>
        <v>8.8500000000000014</v>
      </c>
    </row>
    <row r="518" spans="1:5" x14ac:dyDescent="0.25">
      <c r="A518" s="13">
        <v>42566</v>
      </c>
      <c r="B518" s="12"/>
      <c r="C518" s="12">
        <f t="shared" si="24"/>
        <v>2016</v>
      </c>
      <c r="D518" s="12">
        <f t="shared" si="25"/>
        <v>7</v>
      </c>
      <c r="E518">
        <f t="shared" si="26"/>
        <v>8.8500000000000014</v>
      </c>
    </row>
    <row r="519" spans="1:5" x14ac:dyDescent="0.25">
      <c r="A519" s="13">
        <v>42559</v>
      </c>
      <c r="B519" s="12">
        <v>8.8699999999999992</v>
      </c>
      <c r="C519" s="12">
        <f t="shared" si="24"/>
        <v>2016</v>
      </c>
      <c r="D519" s="12">
        <f t="shared" si="25"/>
        <v>7</v>
      </c>
      <c r="E519">
        <f t="shared" si="26"/>
        <v>8.8500000000000014</v>
      </c>
    </row>
    <row r="520" spans="1:5" x14ac:dyDescent="0.25">
      <c r="A520" s="13">
        <v>42552</v>
      </c>
      <c r="B520" s="12">
        <v>8.8800000000000008</v>
      </c>
      <c r="C520" s="12">
        <f t="shared" si="24"/>
        <v>2016</v>
      </c>
      <c r="D520" s="12">
        <f t="shared" si="25"/>
        <v>7</v>
      </c>
      <c r="E520">
        <f t="shared" si="26"/>
        <v>8.8500000000000014</v>
      </c>
    </row>
    <row r="521" spans="1:5" x14ac:dyDescent="0.25">
      <c r="A521" s="13">
        <v>42545</v>
      </c>
      <c r="B521" s="12">
        <v>8.86</v>
      </c>
      <c r="C521" s="12">
        <f t="shared" si="24"/>
        <v>2016</v>
      </c>
      <c r="D521" s="12">
        <f t="shared" si="25"/>
        <v>6</v>
      </c>
      <c r="E521">
        <f t="shared" si="26"/>
        <v>8.84</v>
      </c>
    </row>
    <row r="522" spans="1:5" x14ac:dyDescent="0.25">
      <c r="A522" s="13">
        <v>42538</v>
      </c>
      <c r="B522" s="12">
        <v>8.84</v>
      </c>
      <c r="C522" s="12">
        <f t="shared" si="24"/>
        <v>2016</v>
      </c>
      <c r="D522" s="12">
        <f t="shared" si="25"/>
        <v>6</v>
      </c>
      <c r="E522">
        <f t="shared" si="26"/>
        <v>8.84</v>
      </c>
    </row>
    <row r="523" spans="1:5" x14ac:dyDescent="0.25">
      <c r="A523" s="13">
        <v>42536</v>
      </c>
      <c r="B523" s="12"/>
      <c r="C523" s="12">
        <f t="shared" si="24"/>
        <v>2016</v>
      </c>
      <c r="D523" s="12">
        <f t="shared" si="25"/>
        <v>6</v>
      </c>
      <c r="E523">
        <f t="shared" si="26"/>
        <v>8.84</v>
      </c>
    </row>
    <row r="524" spans="1:5" x14ac:dyDescent="0.25">
      <c r="A524" s="13">
        <v>42531</v>
      </c>
      <c r="B524" s="12">
        <v>8.82</v>
      </c>
      <c r="C524" s="12">
        <f t="shared" si="24"/>
        <v>2016</v>
      </c>
      <c r="D524" s="12">
        <f t="shared" si="25"/>
        <v>6</v>
      </c>
      <c r="E524">
        <f t="shared" si="26"/>
        <v>8.84</v>
      </c>
    </row>
    <row r="525" spans="1:5" x14ac:dyDescent="0.25">
      <c r="A525" s="13">
        <v>42522</v>
      </c>
      <c r="B525" s="12"/>
      <c r="C525" s="12">
        <f t="shared" si="24"/>
        <v>2016</v>
      </c>
      <c r="D525" s="12">
        <f t="shared" si="25"/>
        <v>6</v>
      </c>
      <c r="E525">
        <f t="shared" si="26"/>
        <v>8.84</v>
      </c>
    </row>
    <row r="526" spans="1:5" x14ac:dyDescent="0.25">
      <c r="A526" s="13">
        <v>42517</v>
      </c>
      <c r="B526" s="12">
        <v>8.7100000000000009</v>
      </c>
      <c r="C526" s="12">
        <f t="shared" si="24"/>
        <v>2016</v>
      </c>
      <c r="D526" s="12">
        <f t="shared" si="25"/>
        <v>5</v>
      </c>
      <c r="E526">
        <f t="shared" si="26"/>
        <v>8.6300000000000008</v>
      </c>
    </row>
    <row r="527" spans="1:5" x14ac:dyDescent="0.25">
      <c r="A527" s="13">
        <v>42510</v>
      </c>
      <c r="B527" s="12">
        <v>8.66</v>
      </c>
      <c r="C527" s="12">
        <f t="shared" si="24"/>
        <v>2016</v>
      </c>
      <c r="D527" s="12">
        <f t="shared" si="25"/>
        <v>5</v>
      </c>
      <c r="E527">
        <f t="shared" si="26"/>
        <v>8.6300000000000008</v>
      </c>
    </row>
    <row r="528" spans="1:5" x14ac:dyDescent="0.25">
      <c r="A528" s="13">
        <v>42506</v>
      </c>
      <c r="B528" s="12"/>
      <c r="C528" s="12">
        <f t="shared" si="24"/>
        <v>2016</v>
      </c>
      <c r="D528" s="12">
        <f t="shared" si="25"/>
        <v>5</v>
      </c>
      <c r="E528">
        <f t="shared" si="26"/>
        <v>8.6300000000000008</v>
      </c>
    </row>
    <row r="529" spans="1:5" x14ac:dyDescent="0.25">
      <c r="A529" s="13">
        <v>42503</v>
      </c>
      <c r="B529" s="12"/>
      <c r="C529" s="12">
        <f t="shared" si="24"/>
        <v>2016</v>
      </c>
      <c r="D529" s="12">
        <f t="shared" si="25"/>
        <v>5</v>
      </c>
      <c r="E529">
        <f t="shared" si="26"/>
        <v>8.6300000000000008</v>
      </c>
    </row>
    <row r="530" spans="1:5" x14ac:dyDescent="0.25">
      <c r="A530" s="13">
        <v>42496</v>
      </c>
      <c r="B530" s="12">
        <v>8.52</v>
      </c>
      <c r="C530" s="12">
        <f t="shared" si="24"/>
        <v>2016</v>
      </c>
      <c r="D530" s="12">
        <f t="shared" si="25"/>
        <v>5</v>
      </c>
      <c r="E530">
        <f t="shared" si="26"/>
        <v>8.6300000000000008</v>
      </c>
    </row>
    <row r="531" spans="1:5" x14ac:dyDescent="0.25">
      <c r="A531" s="13">
        <v>42489</v>
      </c>
      <c r="B531" s="12">
        <v>8.4499999999999993</v>
      </c>
      <c r="C531" s="12">
        <f t="shared" si="24"/>
        <v>2016</v>
      </c>
      <c r="D531" s="12">
        <f t="shared" si="25"/>
        <v>4</v>
      </c>
      <c r="E531">
        <f t="shared" si="26"/>
        <v>8.5440000000000005</v>
      </c>
    </row>
    <row r="532" spans="1:5" x14ac:dyDescent="0.25">
      <c r="A532" s="13">
        <v>42482</v>
      </c>
      <c r="B532" s="12">
        <v>8.4499999999999993</v>
      </c>
      <c r="C532" s="12">
        <f t="shared" si="24"/>
        <v>2016</v>
      </c>
      <c r="D532" s="12">
        <f t="shared" si="25"/>
        <v>4</v>
      </c>
      <c r="E532">
        <f t="shared" si="26"/>
        <v>8.5440000000000005</v>
      </c>
    </row>
    <row r="533" spans="1:5" x14ac:dyDescent="0.25">
      <c r="A533" s="13">
        <v>42475</v>
      </c>
      <c r="B533" s="12">
        <v>8.4499999999999993</v>
      </c>
      <c r="C533" s="12">
        <f t="shared" si="24"/>
        <v>2016</v>
      </c>
      <c r="D533" s="12">
        <f t="shared" si="25"/>
        <v>4</v>
      </c>
      <c r="E533">
        <f t="shared" si="26"/>
        <v>8.5440000000000005</v>
      </c>
    </row>
    <row r="534" spans="1:5" x14ac:dyDescent="0.25">
      <c r="A534" s="13">
        <v>42468</v>
      </c>
      <c r="B534" s="12">
        <v>8.4700000000000006</v>
      </c>
      <c r="C534" s="12">
        <f t="shared" si="24"/>
        <v>2016</v>
      </c>
      <c r="D534" s="12">
        <f t="shared" si="25"/>
        <v>4</v>
      </c>
      <c r="E534">
        <f t="shared" si="26"/>
        <v>8.5440000000000005</v>
      </c>
    </row>
    <row r="535" spans="1:5" x14ac:dyDescent="0.25">
      <c r="A535" s="13">
        <v>42461</v>
      </c>
      <c r="B535" s="12">
        <v>8.9</v>
      </c>
      <c r="C535" s="12">
        <f t="shared" si="24"/>
        <v>2016</v>
      </c>
      <c r="D535" s="12">
        <f t="shared" si="25"/>
        <v>4</v>
      </c>
      <c r="E535">
        <f t="shared" si="26"/>
        <v>8.5440000000000005</v>
      </c>
    </row>
    <row r="536" spans="1:5" x14ac:dyDescent="0.25">
      <c r="A536" s="13">
        <v>42454</v>
      </c>
      <c r="B536" s="12">
        <v>8.3000000000000007</v>
      </c>
      <c r="C536" s="12">
        <f t="shared" si="24"/>
        <v>2016</v>
      </c>
      <c r="D536" s="12">
        <f t="shared" si="25"/>
        <v>3</v>
      </c>
      <c r="E536">
        <f t="shared" si="26"/>
        <v>7.99</v>
      </c>
    </row>
    <row r="537" spans="1:5" x14ac:dyDescent="0.25">
      <c r="A537" s="13">
        <v>42447</v>
      </c>
      <c r="B537" s="12"/>
      <c r="C537" s="12">
        <f t="shared" si="24"/>
        <v>2016</v>
      </c>
      <c r="D537" s="12">
        <f t="shared" si="25"/>
        <v>3</v>
      </c>
      <c r="E537">
        <f t="shared" si="26"/>
        <v>7.99</v>
      </c>
    </row>
    <row r="538" spans="1:5" x14ac:dyDescent="0.25">
      <c r="A538" s="13">
        <v>42433</v>
      </c>
      <c r="B538" s="12">
        <v>7.68</v>
      </c>
      <c r="C538" s="12">
        <f t="shared" si="24"/>
        <v>2016</v>
      </c>
      <c r="D538" s="12">
        <f t="shared" si="25"/>
        <v>3</v>
      </c>
      <c r="E538">
        <f t="shared" si="26"/>
        <v>7.99</v>
      </c>
    </row>
    <row r="539" spans="1:5" x14ac:dyDescent="0.25">
      <c r="A539" s="13">
        <v>42430</v>
      </c>
      <c r="B539" s="12"/>
      <c r="C539" s="12">
        <f t="shared" si="24"/>
        <v>2016</v>
      </c>
      <c r="D539" s="12">
        <f t="shared" si="25"/>
        <v>3</v>
      </c>
      <c r="E539">
        <f t="shared" si="26"/>
        <v>7.99</v>
      </c>
    </row>
    <row r="540" spans="1:5" x14ac:dyDescent="0.25">
      <c r="A540" s="13">
        <v>42426</v>
      </c>
      <c r="B540" s="12"/>
      <c r="C540" s="12">
        <f t="shared" si="24"/>
        <v>2016</v>
      </c>
      <c r="D540" s="12">
        <f t="shared" si="25"/>
        <v>2</v>
      </c>
      <c r="E540">
        <f t="shared" si="26"/>
        <v>7.0749999999999993</v>
      </c>
    </row>
    <row r="541" spans="1:5" x14ac:dyDescent="0.25">
      <c r="A541" s="13">
        <v>42419</v>
      </c>
      <c r="B541" s="12">
        <v>7.14</v>
      </c>
      <c r="C541" s="12">
        <f t="shared" si="24"/>
        <v>2016</v>
      </c>
      <c r="D541" s="12">
        <f t="shared" si="25"/>
        <v>2</v>
      </c>
      <c r="E541">
        <f t="shared" si="26"/>
        <v>7.0749999999999993</v>
      </c>
    </row>
    <row r="542" spans="1:5" x14ac:dyDescent="0.25">
      <c r="A542" s="13">
        <v>42412</v>
      </c>
      <c r="B542" s="12"/>
      <c r="C542" s="12">
        <f t="shared" si="24"/>
        <v>2016</v>
      </c>
      <c r="D542" s="12">
        <f t="shared" si="25"/>
        <v>2</v>
      </c>
      <c r="E542">
        <f t="shared" si="26"/>
        <v>7.0749999999999993</v>
      </c>
    </row>
    <row r="543" spans="1:5" x14ac:dyDescent="0.25">
      <c r="A543" s="13">
        <v>42405</v>
      </c>
      <c r="B543" s="12">
        <v>7.01</v>
      </c>
      <c r="C543" s="12">
        <f t="shared" si="24"/>
        <v>2016</v>
      </c>
      <c r="D543" s="12">
        <f t="shared" si="25"/>
        <v>2</v>
      </c>
      <c r="E543">
        <f t="shared" si="26"/>
        <v>7.0749999999999993</v>
      </c>
    </row>
    <row r="544" spans="1:5" x14ac:dyDescent="0.25">
      <c r="A544" s="13">
        <v>42401</v>
      </c>
      <c r="B544" s="12"/>
      <c r="C544" s="12">
        <f t="shared" si="24"/>
        <v>2016</v>
      </c>
      <c r="D544" s="12">
        <f t="shared" si="25"/>
        <v>2</v>
      </c>
      <c r="E544">
        <f t="shared" si="26"/>
        <v>7.0749999999999993</v>
      </c>
    </row>
    <row r="545" spans="1:5" x14ac:dyDescent="0.25">
      <c r="A545" s="13">
        <v>42391</v>
      </c>
      <c r="B545" s="12"/>
      <c r="C545" s="12">
        <f t="shared" si="24"/>
        <v>2016</v>
      </c>
      <c r="D545" s="12">
        <f t="shared" si="25"/>
        <v>1</v>
      </c>
      <c r="E545">
        <f t="shared" si="26"/>
        <v>6.6066666666666665</v>
      </c>
    </row>
    <row r="546" spans="1:5" x14ac:dyDescent="0.25">
      <c r="A546" s="13">
        <v>42384</v>
      </c>
      <c r="B546" s="12">
        <v>6.78</v>
      </c>
      <c r="C546" s="12">
        <f t="shared" si="24"/>
        <v>2016</v>
      </c>
      <c r="D546" s="12">
        <f t="shared" si="25"/>
        <v>1</v>
      </c>
      <c r="E546">
        <f t="shared" si="26"/>
        <v>6.6066666666666665</v>
      </c>
    </row>
    <row r="547" spans="1:5" x14ac:dyDescent="0.25">
      <c r="A547" s="13">
        <v>42380</v>
      </c>
      <c r="B547" s="12"/>
      <c r="C547" s="12">
        <f t="shared" si="24"/>
        <v>2016</v>
      </c>
      <c r="D547" s="12">
        <f t="shared" si="25"/>
        <v>1</v>
      </c>
      <c r="E547">
        <f t="shared" si="26"/>
        <v>6.6066666666666665</v>
      </c>
    </row>
    <row r="548" spans="1:5" x14ac:dyDescent="0.25">
      <c r="A548" s="13">
        <v>42377</v>
      </c>
      <c r="B548" s="12">
        <v>6.59</v>
      </c>
      <c r="C548" s="12">
        <f t="shared" si="24"/>
        <v>2016</v>
      </c>
      <c r="D548" s="12">
        <f t="shared" si="25"/>
        <v>1</v>
      </c>
      <c r="E548">
        <f t="shared" si="26"/>
        <v>6.6066666666666665</v>
      </c>
    </row>
    <row r="549" spans="1:5" x14ac:dyDescent="0.25">
      <c r="A549" s="13">
        <v>42370</v>
      </c>
      <c r="B549" s="12">
        <v>6.45</v>
      </c>
      <c r="C549" s="12">
        <f t="shared" si="24"/>
        <v>2016</v>
      </c>
      <c r="D549" s="12">
        <f t="shared" si="25"/>
        <v>1</v>
      </c>
      <c r="E549">
        <f t="shared" si="26"/>
        <v>6.6066666666666665</v>
      </c>
    </row>
    <row r="550" spans="1:5" x14ac:dyDescent="0.25">
      <c r="A550" s="13">
        <v>42368</v>
      </c>
      <c r="B550" s="12"/>
      <c r="C550" s="12">
        <f t="shared" si="24"/>
        <v>2015</v>
      </c>
      <c r="D550" s="12">
        <f t="shared" si="25"/>
        <v>12</v>
      </c>
      <c r="E550">
        <f t="shared" si="26"/>
        <v>6.2049999999999992</v>
      </c>
    </row>
    <row r="551" spans="1:5" x14ac:dyDescent="0.25">
      <c r="A551" s="13">
        <v>42361</v>
      </c>
      <c r="B551" s="12">
        <v>6.38</v>
      </c>
      <c r="C551" s="12">
        <f t="shared" si="24"/>
        <v>2015</v>
      </c>
      <c r="D551" s="12">
        <f t="shared" si="25"/>
        <v>12</v>
      </c>
      <c r="E551">
        <f t="shared" si="26"/>
        <v>6.2049999999999992</v>
      </c>
    </row>
    <row r="552" spans="1:5" x14ac:dyDescent="0.25">
      <c r="A552" s="13">
        <v>42356</v>
      </c>
      <c r="B552" s="12">
        <v>6.28</v>
      </c>
      <c r="C552" s="12">
        <f t="shared" si="24"/>
        <v>2015</v>
      </c>
      <c r="D552" s="12">
        <f t="shared" si="25"/>
        <v>12</v>
      </c>
      <c r="E552">
        <f t="shared" si="26"/>
        <v>6.2049999999999992</v>
      </c>
    </row>
    <row r="553" spans="1:5" x14ac:dyDescent="0.25">
      <c r="A553" s="13">
        <v>42349</v>
      </c>
      <c r="B553" s="12">
        <v>6.1</v>
      </c>
      <c r="C553" s="12">
        <f t="shared" si="24"/>
        <v>2015</v>
      </c>
      <c r="D553" s="12">
        <f t="shared" si="25"/>
        <v>12</v>
      </c>
      <c r="E553">
        <f t="shared" si="26"/>
        <v>6.2049999999999992</v>
      </c>
    </row>
    <row r="554" spans="1:5" x14ac:dyDescent="0.25">
      <c r="A554" s="13">
        <v>42342</v>
      </c>
      <c r="B554" s="12">
        <v>6.06</v>
      </c>
      <c r="C554" s="12">
        <f t="shared" si="24"/>
        <v>2015</v>
      </c>
      <c r="D554" s="12">
        <f t="shared" si="25"/>
        <v>12</v>
      </c>
      <c r="E554">
        <f t="shared" si="26"/>
        <v>6.2049999999999992</v>
      </c>
    </row>
    <row r="555" spans="1:5" x14ac:dyDescent="0.25">
      <c r="A555" s="13">
        <v>42335</v>
      </c>
      <c r="B555" s="12"/>
      <c r="C555" s="12">
        <f t="shared" si="24"/>
        <v>2015</v>
      </c>
      <c r="D555" s="12">
        <f t="shared" si="25"/>
        <v>11</v>
      </c>
      <c r="E555">
        <f t="shared" si="26"/>
        <v>6.44</v>
      </c>
    </row>
    <row r="556" spans="1:5" x14ac:dyDescent="0.25">
      <c r="A556" s="13">
        <v>42328</v>
      </c>
      <c r="B556" s="12"/>
      <c r="C556" s="12">
        <f t="shared" si="24"/>
        <v>2015</v>
      </c>
      <c r="D556" s="12">
        <f t="shared" si="25"/>
        <v>11</v>
      </c>
      <c r="E556">
        <f t="shared" si="26"/>
        <v>6.44</v>
      </c>
    </row>
    <row r="557" spans="1:5" x14ac:dyDescent="0.25">
      <c r="A557" s="13">
        <v>42321</v>
      </c>
      <c r="B557" s="12"/>
      <c r="C557" s="12">
        <f t="shared" si="24"/>
        <v>2015</v>
      </c>
      <c r="D557" s="12">
        <f t="shared" si="25"/>
        <v>11</v>
      </c>
      <c r="E557">
        <f t="shared" si="26"/>
        <v>6.44</v>
      </c>
    </row>
    <row r="558" spans="1:5" x14ac:dyDescent="0.25">
      <c r="A558" s="13">
        <v>42314</v>
      </c>
      <c r="B558" s="12">
        <v>6.44</v>
      </c>
      <c r="C558" s="12">
        <f t="shared" si="24"/>
        <v>2015</v>
      </c>
      <c r="D558" s="12">
        <f t="shared" si="25"/>
        <v>11</v>
      </c>
      <c r="E558">
        <f t="shared" si="26"/>
        <v>6.44</v>
      </c>
    </row>
    <row r="559" spans="1:5" x14ac:dyDescent="0.25">
      <c r="A559" s="13">
        <v>42310</v>
      </c>
      <c r="B559" s="12"/>
      <c r="C559" s="12">
        <f t="shared" si="24"/>
        <v>2015</v>
      </c>
      <c r="D559" s="12">
        <f t="shared" si="25"/>
        <v>11</v>
      </c>
      <c r="E559">
        <f t="shared" si="26"/>
        <v>6.44</v>
      </c>
    </row>
    <row r="560" spans="1:5" x14ac:dyDescent="0.25">
      <c r="A560" s="13">
        <v>42307</v>
      </c>
      <c r="B560" s="12">
        <v>6.61</v>
      </c>
      <c r="C560" s="12">
        <f t="shared" si="24"/>
        <v>2015</v>
      </c>
      <c r="D560" s="12">
        <f t="shared" si="25"/>
        <v>10</v>
      </c>
      <c r="E560">
        <f t="shared" si="26"/>
        <v>6.7219999999999995</v>
      </c>
    </row>
    <row r="561" spans="1:5" x14ac:dyDescent="0.25">
      <c r="A561" s="13">
        <v>42300</v>
      </c>
      <c r="B561" s="12">
        <v>6.71</v>
      </c>
      <c r="C561" s="12">
        <f t="shared" si="24"/>
        <v>2015</v>
      </c>
      <c r="D561" s="12">
        <f t="shared" si="25"/>
        <v>10</v>
      </c>
      <c r="E561">
        <f t="shared" si="26"/>
        <v>6.7219999999999995</v>
      </c>
    </row>
    <row r="562" spans="1:5" x14ac:dyDescent="0.25">
      <c r="A562" s="13">
        <v>42293</v>
      </c>
      <c r="B562" s="12">
        <v>6.73</v>
      </c>
      <c r="C562" s="12">
        <f t="shared" si="24"/>
        <v>2015</v>
      </c>
      <c r="D562" s="12">
        <f t="shared" si="25"/>
        <v>10</v>
      </c>
      <c r="E562">
        <f t="shared" si="26"/>
        <v>6.7219999999999995</v>
      </c>
    </row>
    <row r="563" spans="1:5" x14ac:dyDescent="0.25">
      <c r="A563" s="13">
        <v>42286</v>
      </c>
      <c r="B563" s="12">
        <v>6.78</v>
      </c>
      <c r="C563" s="12">
        <f t="shared" si="24"/>
        <v>2015</v>
      </c>
      <c r="D563" s="12">
        <f t="shared" si="25"/>
        <v>10</v>
      </c>
      <c r="E563">
        <f t="shared" si="26"/>
        <v>6.7219999999999995</v>
      </c>
    </row>
    <row r="564" spans="1:5" x14ac:dyDescent="0.25">
      <c r="A564" s="13">
        <v>42279</v>
      </c>
      <c r="B564" s="12">
        <v>6.78</v>
      </c>
      <c r="C564" s="12">
        <f t="shared" si="24"/>
        <v>2015</v>
      </c>
      <c r="D564" s="12">
        <f t="shared" si="25"/>
        <v>10</v>
      </c>
      <c r="E564">
        <f t="shared" si="26"/>
        <v>6.7219999999999995</v>
      </c>
    </row>
    <row r="565" spans="1:5" x14ac:dyDescent="0.25">
      <c r="A565" s="13">
        <v>42278</v>
      </c>
      <c r="B565" s="12"/>
      <c r="C565" s="12">
        <f t="shared" si="24"/>
        <v>2015</v>
      </c>
      <c r="D565" s="12">
        <f t="shared" si="25"/>
        <v>10</v>
      </c>
      <c r="E565">
        <f t="shared" si="26"/>
        <v>6.7219999999999995</v>
      </c>
    </row>
    <row r="566" spans="1:5" x14ac:dyDescent="0.25">
      <c r="A566" s="13">
        <v>42272</v>
      </c>
      <c r="B566" s="12">
        <v>6.78</v>
      </c>
      <c r="C566" s="12">
        <f t="shared" si="24"/>
        <v>2015</v>
      </c>
      <c r="D566" s="12">
        <f t="shared" si="25"/>
        <v>9</v>
      </c>
      <c r="E566">
        <f t="shared" si="26"/>
        <v>6.7866666666666662</v>
      </c>
    </row>
    <row r="567" spans="1:5" x14ac:dyDescent="0.25">
      <c r="A567" s="13">
        <v>42268</v>
      </c>
      <c r="B567" s="12"/>
      <c r="C567" s="12">
        <f t="shared" si="24"/>
        <v>2015</v>
      </c>
      <c r="D567" s="12">
        <f t="shared" si="25"/>
        <v>9</v>
      </c>
      <c r="E567">
        <f t="shared" si="26"/>
        <v>6.7866666666666662</v>
      </c>
    </row>
    <row r="568" spans="1:5" x14ac:dyDescent="0.25">
      <c r="A568" s="13">
        <v>42265</v>
      </c>
      <c r="B568" s="12">
        <v>6.79</v>
      </c>
      <c r="C568" s="12">
        <f t="shared" si="24"/>
        <v>2015</v>
      </c>
      <c r="D568" s="12">
        <f t="shared" si="25"/>
        <v>9</v>
      </c>
      <c r="E568">
        <f t="shared" si="26"/>
        <v>6.7866666666666662</v>
      </c>
    </row>
    <row r="569" spans="1:5" x14ac:dyDescent="0.25">
      <c r="A569" s="13">
        <v>42258</v>
      </c>
      <c r="B569" s="12"/>
      <c r="C569" s="12">
        <f t="shared" si="24"/>
        <v>2015</v>
      </c>
      <c r="D569" s="12">
        <f t="shared" si="25"/>
        <v>9</v>
      </c>
      <c r="E569">
        <f t="shared" si="26"/>
        <v>6.7866666666666662</v>
      </c>
    </row>
    <row r="570" spans="1:5" x14ac:dyDescent="0.25">
      <c r="A570" s="13">
        <v>42251</v>
      </c>
      <c r="B570" s="12">
        <v>6.79</v>
      </c>
      <c r="C570" s="12">
        <f t="shared" si="24"/>
        <v>2015</v>
      </c>
      <c r="D570" s="12">
        <f t="shared" si="25"/>
        <v>9</v>
      </c>
      <c r="E570">
        <f t="shared" si="26"/>
        <v>6.7866666666666662</v>
      </c>
    </row>
    <row r="571" spans="1:5" x14ac:dyDescent="0.25">
      <c r="A571" s="13">
        <v>42248</v>
      </c>
      <c r="B571" s="12"/>
      <c r="C571" s="12">
        <f t="shared" si="24"/>
        <v>2015</v>
      </c>
      <c r="D571" s="12">
        <f t="shared" si="25"/>
        <v>9</v>
      </c>
      <c r="E571">
        <f t="shared" si="26"/>
        <v>6.7866666666666662</v>
      </c>
    </row>
    <row r="572" spans="1:5" x14ac:dyDescent="0.25">
      <c r="A572" s="13">
        <v>42244</v>
      </c>
      <c r="B572" s="12">
        <v>6.53</v>
      </c>
      <c r="C572" s="12">
        <f t="shared" si="24"/>
        <v>2015</v>
      </c>
      <c r="D572" s="12">
        <f t="shared" si="25"/>
        <v>8</v>
      </c>
      <c r="E572">
        <f t="shared" si="26"/>
        <v>6.4450000000000003</v>
      </c>
    </row>
    <row r="573" spans="1:5" x14ac:dyDescent="0.25">
      <c r="A573" s="13">
        <v>42237</v>
      </c>
      <c r="B573" s="12">
        <v>6.36</v>
      </c>
      <c r="C573" s="12">
        <f t="shared" si="24"/>
        <v>2015</v>
      </c>
      <c r="D573" s="12">
        <f t="shared" si="25"/>
        <v>8</v>
      </c>
      <c r="E573">
        <f t="shared" si="26"/>
        <v>6.4450000000000003</v>
      </c>
    </row>
    <row r="574" spans="1:5" x14ac:dyDescent="0.25">
      <c r="A574" s="13">
        <v>42234</v>
      </c>
      <c r="B574" s="12"/>
      <c r="C574" s="12">
        <f t="shared" si="24"/>
        <v>2015</v>
      </c>
      <c r="D574" s="12">
        <f t="shared" si="25"/>
        <v>8</v>
      </c>
      <c r="E574">
        <f t="shared" si="26"/>
        <v>6.4450000000000003</v>
      </c>
    </row>
    <row r="575" spans="1:5" x14ac:dyDescent="0.25">
      <c r="A575" s="13">
        <v>42230</v>
      </c>
      <c r="B575" s="12"/>
      <c r="C575" s="12">
        <f t="shared" si="24"/>
        <v>2015</v>
      </c>
      <c r="D575" s="12">
        <f t="shared" si="25"/>
        <v>8</v>
      </c>
      <c r="E575">
        <f t="shared" si="26"/>
        <v>6.4450000000000003</v>
      </c>
    </row>
    <row r="576" spans="1:5" x14ac:dyDescent="0.25">
      <c r="A576" s="13">
        <v>42223</v>
      </c>
      <c r="B576" s="12"/>
      <c r="C576" s="12">
        <f t="shared" si="24"/>
        <v>2015</v>
      </c>
      <c r="D576" s="12">
        <f t="shared" si="25"/>
        <v>8</v>
      </c>
      <c r="E576">
        <f t="shared" si="26"/>
        <v>6.4450000000000003</v>
      </c>
    </row>
    <row r="577" spans="1:5" x14ac:dyDescent="0.25">
      <c r="A577" s="13">
        <v>42219</v>
      </c>
      <c r="B577" s="12"/>
      <c r="C577" s="12">
        <f t="shared" si="24"/>
        <v>2015</v>
      </c>
      <c r="D577" s="12">
        <f t="shared" si="25"/>
        <v>8</v>
      </c>
      <c r="E577">
        <f t="shared" si="26"/>
        <v>6.4450000000000003</v>
      </c>
    </row>
    <row r="578" spans="1:5" x14ac:dyDescent="0.25">
      <c r="A578" s="13">
        <v>42215</v>
      </c>
      <c r="B578" s="12">
        <v>6.28</v>
      </c>
      <c r="C578" s="12">
        <f t="shared" si="24"/>
        <v>2015</v>
      </c>
      <c r="D578" s="12">
        <f t="shared" si="25"/>
        <v>7</v>
      </c>
      <c r="E578">
        <f t="shared" si="26"/>
        <v>6.2</v>
      </c>
    </row>
    <row r="579" spans="1:5" x14ac:dyDescent="0.25">
      <c r="A579" s="13">
        <v>42209</v>
      </c>
      <c r="B579" s="12">
        <v>6.25</v>
      </c>
      <c r="C579" s="12">
        <f t="shared" ref="C579:C618" si="27">YEAR(A579)</f>
        <v>2015</v>
      </c>
      <c r="D579" s="12">
        <f t="shared" ref="D579:D618" si="28">(MONTH(A579))</f>
        <v>7</v>
      </c>
      <c r="E579">
        <f t="shared" ref="E579:E618" si="29">AVERAGEIFS($B:$B, $C:$C, C579, $D:$D, D579)</f>
        <v>6.2</v>
      </c>
    </row>
    <row r="580" spans="1:5" x14ac:dyDescent="0.25">
      <c r="A580" s="13">
        <v>42202</v>
      </c>
      <c r="B580" s="12">
        <v>6.22</v>
      </c>
      <c r="C580" s="12">
        <f t="shared" si="27"/>
        <v>2015</v>
      </c>
      <c r="D580" s="12">
        <f t="shared" si="28"/>
        <v>7</v>
      </c>
      <c r="E580">
        <f t="shared" si="29"/>
        <v>6.2</v>
      </c>
    </row>
    <row r="581" spans="1:5" x14ac:dyDescent="0.25">
      <c r="A581" s="13">
        <v>42200</v>
      </c>
      <c r="B581" s="12"/>
      <c r="C581" s="12">
        <f t="shared" si="27"/>
        <v>2015</v>
      </c>
      <c r="D581" s="12">
        <f t="shared" si="28"/>
        <v>7</v>
      </c>
      <c r="E581">
        <f t="shared" si="29"/>
        <v>6.2</v>
      </c>
    </row>
    <row r="582" spans="1:5" x14ac:dyDescent="0.25">
      <c r="A582" s="13">
        <v>42195</v>
      </c>
      <c r="B582" s="12">
        <v>6.14</v>
      </c>
      <c r="C582" s="12">
        <f t="shared" si="27"/>
        <v>2015</v>
      </c>
      <c r="D582" s="12">
        <f t="shared" si="28"/>
        <v>7</v>
      </c>
      <c r="E582">
        <f t="shared" si="29"/>
        <v>6.2</v>
      </c>
    </row>
    <row r="583" spans="1:5" x14ac:dyDescent="0.25">
      <c r="A583" s="13">
        <v>42188</v>
      </c>
      <c r="B583" s="12">
        <v>6.11</v>
      </c>
      <c r="C583" s="12">
        <f t="shared" si="27"/>
        <v>2015</v>
      </c>
      <c r="D583" s="12">
        <f t="shared" si="28"/>
        <v>7</v>
      </c>
      <c r="E583">
        <f t="shared" si="29"/>
        <v>6.2</v>
      </c>
    </row>
    <row r="584" spans="1:5" x14ac:dyDescent="0.25">
      <c r="A584" s="13">
        <v>42187</v>
      </c>
      <c r="B584" s="12"/>
      <c r="C584" s="12">
        <f t="shared" si="27"/>
        <v>2015</v>
      </c>
      <c r="D584" s="12">
        <f t="shared" si="28"/>
        <v>7</v>
      </c>
      <c r="E584">
        <f t="shared" si="29"/>
        <v>6.2</v>
      </c>
    </row>
    <row r="585" spans="1:5" x14ac:dyDescent="0.25">
      <c r="A585" s="13">
        <v>42181</v>
      </c>
      <c r="B585" s="12">
        <v>6.08</v>
      </c>
      <c r="C585" s="12">
        <f t="shared" si="27"/>
        <v>2015</v>
      </c>
      <c r="D585" s="12">
        <f t="shared" si="28"/>
        <v>6</v>
      </c>
      <c r="E585">
        <f t="shared" si="29"/>
        <v>6.0775000000000006</v>
      </c>
    </row>
    <row r="586" spans="1:5" x14ac:dyDescent="0.25">
      <c r="A586" s="13">
        <v>42174</v>
      </c>
      <c r="B586" s="12">
        <v>6.08</v>
      </c>
      <c r="C586" s="12">
        <f t="shared" si="27"/>
        <v>2015</v>
      </c>
      <c r="D586" s="12">
        <f t="shared" si="28"/>
        <v>6</v>
      </c>
      <c r="E586">
        <f t="shared" si="29"/>
        <v>6.0775000000000006</v>
      </c>
    </row>
    <row r="587" spans="1:5" x14ac:dyDescent="0.25">
      <c r="A587" s="13">
        <v>42170</v>
      </c>
      <c r="B587" s="12"/>
      <c r="C587" s="12">
        <f t="shared" si="27"/>
        <v>2015</v>
      </c>
      <c r="D587" s="12">
        <f t="shared" si="28"/>
        <v>6</v>
      </c>
      <c r="E587">
        <f t="shared" si="29"/>
        <v>6.0775000000000006</v>
      </c>
    </row>
    <row r="588" spans="1:5" x14ac:dyDescent="0.25">
      <c r="A588" s="13">
        <v>42167</v>
      </c>
      <c r="B588" s="12">
        <v>6.08</v>
      </c>
      <c r="C588" s="12">
        <f t="shared" si="27"/>
        <v>2015</v>
      </c>
      <c r="D588" s="12">
        <f t="shared" si="28"/>
        <v>6</v>
      </c>
      <c r="E588">
        <f t="shared" si="29"/>
        <v>6.0775000000000006</v>
      </c>
    </row>
    <row r="589" spans="1:5" x14ac:dyDescent="0.25">
      <c r="A589" s="13">
        <v>42160</v>
      </c>
      <c r="B589" s="12">
        <v>6.07</v>
      </c>
      <c r="C589" s="12">
        <f t="shared" si="27"/>
        <v>2015</v>
      </c>
      <c r="D589" s="12">
        <f t="shared" si="28"/>
        <v>6</v>
      </c>
      <c r="E589">
        <f t="shared" si="29"/>
        <v>6.0775000000000006</v>
      </c>
    </row>
    <row r="590" spans="1:5" x14ac:dyDescent="0.25">
      <c r="A590" s="13">
        <v>42156</v>
      </c>
      <c r="B590" s="12"/>
      <c r="C590" s="12">
        <f t="shared" si="27"/>
        <v>2015</v>
      </c>
      <c r="D590" s="12">
        <f t="shared" si="28"/>
        <v>6</v>
      </c>
      <c r="E590">
        <f t="shared" si="29"/>
        <v>6.0775000000000006</v>
      </c>
    </row>
    <row r="591" spans="1:5" x14ac:dyDescent="0.25">
      <c r="A591" s="13">
        <v>42153</v>
      </c>
      <c r="B591" s="12">
        <v>6.07</v>
      </c>
      <c r="C591" s="12">
        <f t="shared" si="27"/>
        <v>2015</v>
      </c>
      <c r="D591" s="12">
        <f t="shared" si="28"/>
        <v>5</v>
      </c>
      <c r="E591">
        <f t="shared" si="29"/>
        <v>6.104000000000001</v>
      </c>
    </row>
    <row r="592" spans="1:5" x14ac:dyDescent="0.25">
      <c r="A592" s="13">
        <v>42146</v>
      </c>
      <c r="B592" s="12">
        <v>6.08</v>
      </c>
      <c r="C592" s="12">
        <f t="shared" si="27"/>
        <v>2015</v>
      </c>
      <c r="D592" s="12">
        <f t="shared" si="28"/>
        <v>5</v>
      </c>
      <c r="E592">
        <f t="shared" si="29"/>
        <v>6.104000000000001</v>
      </c>
    </row>
    <row r="593" spans="1:5" x14ac:dyDescent="0.25">
      <c r="A593" s="13">
        <v>42139</v>
      </c>
      <c r="B593" s="12">
        <v>6.1</v>
      </c>
      <c r="C593" s="12">
        <f t="shared" si="27"/>
        <v>2015</v>
      </c>
      <c r="D593" s="12">
        <f t="shared" si="28"/>
        <v>5</v>
      </c>
      <c r="E593">
        <f t="shared" si="29"/>
        <v>6.104000000000001</v>
      </c>
    </row>
    <row r="594" spans="1:5" x14ac:dyDescent="0.25">
      <c r="A594" s="13">
        <v>42132</v>
      </c>
      <c r="B594" s="12">
        <v>6.12</v>
      </c>
      <c r="C594" s="12">
        <f t="shared" si="27"/>
        <v>2015</v>
      </c>
      <c r="D594" s="12">
        <f t="shared" si="28"/>
        <v>5</v>
      </c>
      <c r="E594">
        <f t="shared" si="29"/>
        <v>6.104000000000001</v>
      </c>
    </row>
    <row r="595" spans="1:5" x14ac:dyDescent="0.25">
      <c r="A595" s="13">
        <v>42129</v>
      </c>
      <c r="B595" s="12"/>
      <c r="C595" s="12">
        <f t="shared" si="27"/>
        <v>2015</v>
      </c>
      <c r="D595" s="12">
        <f t="shared" si="28"/>
        <v>5</v>
      </c>
      <c r="E595">
        <f t="shared" si="29"/>
        <v>6.104000000000001</v>
      </c>
    </row>
    <row r="596" spans="1:5" x14ac:dyDescent="0.25">
      <c r="A596" s="13">
        <v>42125</v>
      </c>
      <c r="B596" s="12">
        <v>6.15</v>
      </c>
      <c r="C596" s="12">
        <f t="shared" si="27"/>
        <v>2015</v>
      </c>
      <c r="D596" s="12">
        <f t="shared" si="28"/>
        <v>5</v>
      </c>
      <c r="E596">
        <f t="shared" si="29"/>
        <v>6.104000000000001</v>
      </c>
    </row>
    <row r="597" spans="1:5" x14ac:dyDescent="0.25">
      <c r="A597" s="13">
        <v>42118</v>
      </c>
      <c r="B597" s="12">
        <v>6.19</v>
      </c>
      <c r="C597" s="12">
        <f t="shared" si="27"/>
        <v>2015</v>
      </c>
      <c r="D597" s="12">
        <f t="shared" si="28"/>
        <v>4</v>
      </c>
      <c r="E597">
        <f t="shared" si="29"/>
        <v>6.39</v>
      </c>
    </row>
    <row r="598" spans="1:5" x14ac:dyDescent="0.25">
      <c r="A598" s="13">
        <v>42111</v>
      </c>
      <c r="B598" s="12">
        <v>6.26</v>
      </c>
      <c r="C598" s="12">
        <f t="shared" si="27"/>
        <v>2015</v>
      </c>
      <c r="D598" s="12">
        <f t="shared" si="28"/>
        <v>4</v>
      </c>
      <c r="E598">
        <f t="shared" si="29"/>
        <v>6.39</v>
      </c>
    </row>
    <row r="599" spans="1:5" x14ac:dyDescent="0.25">
      <c r="A599" s="13">
        <v>42104</v>
      </c>
      <c r="B599" s="12">
        <v>6.56</v>
      </c>
      <c r="C599" s="12">
        <f t="shared" si="27"/>
        <v>2015</v>
      </c>
      <c r="D599" s="12">
        <f t="shared" si="28"/>
        <v>4</v>
      </c>
      <c r="E599">
        <f t="shared" si="29"/>
        <v>6.39</v>
      </c>
    </row>
    <row r="600" spans="1:5" x14ac:dyDescent="0.25">
      <c r="A600" s="13">
        <v>42103</v>
      </c>
      <c r="B600" s="12"/>
      <c r="C600" s="12">
        <f t="shared" si="27"/>
        <v>2015</v>
      </c>
      <c r="D600" s="12">
        <f t="shared" si="28"/>
        <v>4</v>
      </c>
      <c r="E600">
        <f t="shared" si="29"/>
        <v>6.39</v>
      </c>
    </row>
    <row r="601" spans="1:5" x14ac:dyDescent="0.25">
      <c r="A601" s="13">
        <v>42096</v>
      </c>
      <c r="B601" s="12">
        <v>6.55</v>
      </c>
      <c r="C601" s="12">
        <f t="shared" si="27"/>
        <v>2015</v>
      </c>
      <c r="D601" s="12">
        <f t="shared" si="28"/>
        <v>4</v>
      </c>
      <c r="E601">
        <f t="shared" si="29"/>
        <v>6.39</v>
      </c>
    </row>
    <row r="602" spans="1:5" x14ac:dyDescent="0.25">
      <c r="A602" s="13">
        <v>42095</v>
      </c>
      <c r="B602" s="12"/>
      <c r="C602" s="12">
        <f t="shared" si="27"/>
        <v>2015</v>
      </c>
      <c r="D602" s="12">
        <f t="shared" si="28"/>
        <v>4</v>
      </c>
      <c r="E602">
        <f t="shared" si="29"/>
        <v>6.39</v>
      </c>
    </row>
    <row r="603" spans="1:5" x14ac:dyDescent="0.25">
      <c r="A603" s="13">
        <v>42090</v>
      </c>
      <c r="B603" s="12">
        <v>6.6</v>
      </c>
      <c r="C603" s="12">
        <f t="shared" si="27"/>
        <v>2015</v>
      </c>
      <c r="D603" s="12">
        <f t="shared" si="28"/>
        <v>3</v>
      </c>
      <c r="E603">
        <f t="shared" si="29"/>
        <v>6.8450000000000006</v>
      </c>
    </row>
    <row r="604" spans="1:5" x14ac:dyDescent="0.25">
      <c r="A604" s="13">
        <v>42083</v>
      </c>
      <c r="B604" s="12">
        <v>6.79</v>
      </c>
      <c r="C604" s="12">
        <f t="shared" si="27"/>
        <v>2015</v>
      </c>
      <c r="D604" s="12">
        <f t="shared" si="28"/>
        <v>3</v>
      </c>
      <c r="E604">
        <f t="shared" si="29"/>
        <v>6.8450000000000006</v>
      </c>
    </row>
    <row r="605" spans="1:5" x14ac:dyDescent="0.25">
      <c r="A605" s="13">
        <v>42079</v>
      </c>
      <c r="B605" s="12"/>
      <c r="C605" s="12">
        <f t="shared" si="27"/>
        <v>2015</v>
      </c>
      <c r="D605" s="12">
        <f t="shared" si="28"/>
        <v>3</v>
      </c>
      <c r="E605">
        <f t="shared" si="29"/>
        <v>6.8450000000000006</v>
      </c>
    </row>
    <row r="606" spans="1:5" x14ac:dyDescent="0.25">
      <c r="A606" s="13">
        <v>42076</v>
      </c>
      <c r="B606" s="12">
        <v>7.1</v>
      </c>
      <c r="C606" s="12">
        <f t="shared" si="27"/>
        <v>2015</v>
      </c>
      <c r="D606" s="12">
        <f t="shared" si="28"/>
        <v>3</v>
      </c>
      <c r="E606">
        <f t="shared" si="29"/>
        <v>6.8450000000000006</v>
      </c>
    </row>
    <row r="607" spans="1:5" x14ac:dyDescent="0.25">
      <c r="A607" s="13">
        <v>42069</v>
      </c>
      <c r="B607" s="12">
        <v>6.89</v>
      </c>
      <c r="C607" s="12">
        <f t="shared" si="27"/>
        <v>2015</v>
      </c>
      <c r="D607" s="12">
        <f t="shared" si="28"/>
        <v>3</v>
      </c>
      <c r="E607">
        <f t="shared" si="29"/>
        <v>6.8450000000000006</v>
      </c>
    </row>
    <row r="608" spans="1:5" x14ac:dyDescent="0.25">
      <c r="A608" s="13">
        <v>42065</v>
      </c>
      <c r="B608" s="12"/>
      <c r="C608" s="12">
        <f t="shared" si="27"/>
        <v>2015</v>
      </c>
      <c r="D608" s="12">
        <f t="shared" si="28"/>
        <v>3</v>
      </c>
      <c r="E608">
        <f t="shared" si="29"/>
        <v>6.8450000000000006</v>
      </c>
    </row>
    <row r="609" spans="1:5" x14ac:dyDescent="0.25">
      <c r="A609" s="13">
        <v>42062</v>
      </c>
      <c r="B609" s="12">
        <v>5.98</v>
      </c>
      <c r="C609" s="12">
        <f t="shared" si="27"/>
        <v>2015</v>
      </c>
      <c r="D609" s="12">
        <f t="shared" si="28"/>
        <v>2</v>
      </c>
      <c r="E609">
        <f t="shared" si="29"/>
        <v>5.9050000000000002</v>
      </c>
    </row>
    <row r="610" spans="1:5" x14ac:dyDescent="0.25">
      <c r="A610" s="13">
        <v>42055</v>
      </c>
      <c r="B610" s="12">
        <v>5.94</v>
      </c>
      <c r="C610" s="12">
        <f t="shared" si="27"/>
        <v>2015</v>
      </c>
      <c r="D610" s="12">
        <f t="shared" si="28"/>
        <v>2</v>
      </c>
      <c r="E610">
        <f t="shared" si="29"/>
        <v>5.9050000000000002</v>
      </c>
    </row>
    <row r="611" spans="1:5" x14ac:dyDescent="0.25">
      <c r="A611" s="13">
        <v>42048</v>
      </c>
      <c r="B611" s="12">
        <v>5.88</v>
      </c>
      <c r="C611" s="12">
        <f t="shared" si="27"/>
        <v>2015</v>
      </c>
      <c r="D611" s="12">
        <f t="shared" si="28"/>
        <v>2</v>
      </c>
      <c r="E611">
        <f t="shared" si="29"/>
        <v>5.9050000000000002</v>
      </c>
    </row>
    <row r="612" spans="1:5" x14ac:dyDescent="0.25">
      <c r="A612" s="13">
        <v>42041</v>
      </c>
      <c r="B612" s="12">
        <v>5.82</v>
      </c>
      <c r="C612" s="12">
        <f t="shared" si="27"/>
        <v>2015</v>
      </c>
      <c r="D612" s="12">
        <f t="shared" si="28"/>
        <v>2</v>
      </c>
      <c r="E612">
        <f t="shared" si="29"/>
        <v>5.9050000000000002</v>
      </c>
    </row>
    <row r="613" spans="1:5" x14ac:dyDescent="0.25">
      <c r="A613" s="13">
        <v>42034</v>
      </c>
      <c r="B613" s="12">
        <v>5.8</v>
      </c>
      <c r="C613" s="12">
        <f t="shared" si="27"/>
        <v>2015</v>
      </c>
      <c r="D613" s="12">
        <f t="shared" si="28"/>
        <v>1</v>
      </c>
      <c r="E613">
        <f t="shared" si="29"/>
        <v>5.7780000000000005</v>
      </c>
    </row>
    <row r="614" spans="1:5" x14ac:dyDescent="0.25">
      <c r="A614" s="13">
        <v>42027</v>
      </c>
      <c r="B614" s="12">
        <v>5.8</v>
      </c>
      <c r="C614" s="12">
        <f t="shared" si="27"/>
        <v>2015</v>
      </c>
      <c r="D614" s="12">
        <f t="shared" si="28"/>
        <v>1</v>
      </c>
      <c r="E614">
        <f t="shared" si="29"/>
        <v>5.7780000000000005</v>
      </c>
    </row>
    <row r="615" spans="1:5" x14ac:dyDescent="0.25">
      <c r="A615" s="13">
        <v>42020</v>
      </c>
      <c r="B615" s="12">
        <v>5.79</v>
      </c>
      <c r="C615" s="12">
        <f t="shared" si="27"/>
        <v>2015</v>
      </c>
      <c r="D615" s="12">
        <f t="shared" si="28"/>
        <v>1</v>
      </c>
      <c r="E615">
        <f t="shared" si="29"/>
        <v>5.7780000000000005</v>
      </c>
    </row>
    <row r="616" spans="1:5" x14ac:dyDescent="0.25">
      <c r="A616" s="13">
        <v>42013</v>
      </c>
      <c r="B616" s="12">
        <v>5.76</v>
      </c>
      <c r="C616" s="12">
        <f t="shared" si="27"/>
        <v>2015</v>
      </c>
      <c r="D616" s="12">
        <f t="shared" si="28"/>
        <v>1</v>
      </c>
      <c r="E616">
        <f t="shared" si="29"/>
        <v>5.7780000000000005</v>
      </c>
    </row>
    <row r="617" spans="1:5" x14ac:dyDescent="0.25">
      <c r="A617" s="13">
        <v>42006</v>
      </c>
      <c r="B617" s="12">
        <v>5.74</v>
      </c>
      <c r="C617" s="12">
        <f t="shared" si="27"/>
        <v>2015</v>
      </c>
      <c r="D617" s="12">
        <f t="shared" si="28"/>
        <v>1</v>
      </c>
      <c r="E617">
        <f t="shared" si="29"/>
        <v>5.7780000000000005</v>
      </c>
    </row>
    <row r="618" spans="1:5" x14ac:dyDescent="0.25">
      <c r="A618" s="13">
        <v>42005</v>
      </c>
      <c r="B618" s="12"/>
      <c r="C618" s="12">
        <f t="shared" si="27"/>
        <v>2015</v>
      </c>
      <c r="D618" s="12">
        <f t="shared" si="28"/>
        <v>1</v>
      </c>
      <c r="E618">
        <f t="shared" si="29"/>
        <v>5.7780000000000005</v>
      </c>
    </row>
  </sheetData>
  <autoFilter ref="M1:O1" xr:uid="{C45913FD-4A12-4639-BA0C-9BD0EFFB6398}">
    <sortState xmlns:xlrd2="http://schemas.microsoft.com/office/spreadsheetml/2017/richdata2" ref="M2:O121">
      <sortCondition ref="M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985E-B4DD-4FAF-A885-1201E0DE7871}">
  <dimension ref="A1:F122"/>
  <sheetViews>
    <sheetView topLeftCell="B107" workbookViewId="0">
      <selection activeCell="D1" sqref="D1:F122"/>
    </sheetView>
  </sheetViews>
  <sheetFormatPr defaultRowHeight="15" x14ac:dyDescent="0.25"/>
  <cols>
    <col min="1" max="2" width="22.5703125" customWidth="1"/>
    <col min="3" max="3" width="12.7109375" customWidth="1"/>
    <col min="4" max="4" width="26.42578125" customWidth="1"/>
    <col min="5" max="5" width="24.7109375" customWidth="1"/>
    <col min="6" max="6" width="16.42578125" customWidth="1"/>
  </cols>
  <sheetData>
    <row r="1" spans="1:6" ht="60" x14ac:dyDescent="0.25">
      <c r="A1" s="4" t="s">
        <v>17</v>
      </c>
      <c r="B1" s="6" t="s">
        <v>2</v>
      </c>
      <c r="C1" s="6" t="s">
        <v>3</v>
      </c>
      <c r="D1" s="7" t="s">
        <v>141</v>
      </c>
      <c r="E1" s="7" t="s">
        <v>142</v>
      </c>
      <c r="F1" s="7" t="s">
        <v>16</v>
      </c>
    </row>
    <row r="2" spans="1:6" x14ac:dyDescent="0.25">
      <c r="A2" s="5" t="s">
        <v>18</v>
      </c>
      <c r="B2" s="5" t="str">
        <f>LEFT(A2,4)</f>
        <v>2015</v>
      </c>
      <c r="C2" s="5" t="str">
        <f>RIGHT(A2,3)</f>
        <v>Jan</v>
      </c>
      <c r="D2" s="1">
        <v>1682</v>
      </c>
      <c r="E2" s="3">
        <v>920</v>
      </c>
      <c r="F2" s="3">
        <v>-761.19</v>
      </c>
    </row>
    <row r="3" spans="1:6" x14ac:dyDescent="0.25">
      <c r="A3" s="5" t="s">
        <v>19</v>
      </c>
      <c r="B3" s="5" t="str">
        <f t="shared" ref="B3:B66" si="0">LEFT(A3,4)</f>
        <v>2015</v>
      </c>
      <c r="C3" s="5" t="str">
        <f t="shared" ref="C3:C66" si="1">RIGHT(A3,3)</f>
        <v>Feb</v>
      </c>
      <c r="D3" s="1">
        <v>1530</v>
      </c>
      <c r="E3" s="3">
        <v>907</v>
      </c>
      <c r="F3" s="3">
        <v>-622.28</v>
      </c>
    </row>
    <row r="4" spans="1:6" x14ac:dyDescent="0.25">
      <c r="A4" s="5" t="s">
        <v>20</v>
      </c>
      <c r="B4" s="5" t="str">
        <f t="shared" si="0"/>
        <v>2015</v>
      </c>
      <c r="C4" s="5" t="str">
        <f t="shared" si="1"/>
        <v>Mar</v>
      </c>
      <c r="D4" s="1">
        <v>1581</v>
      </c>
      <c r="E4" s="1">
        <v>1068</v>
      </c>
      <c r="F4" s="3">
        <v>-512.82000000000005</v>
      </c>
    </row>
    <row r="5" spans="1:6" x14ac:dyDescent="0.25">
      <c r="A5" s="5" t="s">
        <v>21</v>
      </c>
      <c r="B5" s="5" t="str">
        <f t="shared" si="0"/>
        <v>2015</v>
      </c>
      <c r="C5" s="5" t="str">
        <f t="shared" si="1"/>
        <v>Apr</v>
      </c>
      <c r="D5" s="1">
        <v>1490</v>
      </c>
      <c r="E5" s="3">
        <v>717</v>
      </c>
      <c r="F5" s="3">
        <v>-773.49</v>
      </c>
    </row>
    <row r="6" spans="1:6" x14ac:dyDescent="0.25">
      <c r="A6" s="5" t="s">
        <v>22</v>
      </c>
      <c r="B6" s="5" t="str">
        <f t="shared" si="0"/>
        <v>2015</v>
      </c>
      <c r="C6" s="5" t="str">
        <f t="shared" si="1"/>
        <v>May</v>
      </c>
      <c r="D6" s="1">
        <v>1585</v>
      </c>
      <c r="E6" s="3">
        <v>886</v>
      </c>
      <c r="F6" s="3">
        <v>-699.37</v>
      </c>
    </row>
    <row r="7" spans="1:6" x14ac:dyDescent="0.25">
      <c r="A7" s="5" t="s">
        <v>23</v>
      </c>
      <c r="B7" s="5" t="str">
        <f t="shared" si="0"/>
        <v>2015</v>
      </c>
      <c r="C7" s="5" t="str">
        <f t="shared" si="1"/>
        <v>Jun</v>
      </c>
      <c r="D7" s="1">
        <v>1679</v>
      </c>
      <c r="E7" s="3">
        <v>946</v>
      </c>
      <c r="F7" s="3">
        <v>-733.18</v>
      </c>
    </row>
    <row r="8" spans="1:6" x14ac:dyDescent="0.25">
      <c r="A8" s="5" t="s">
        <v>24</v>
      </c>
      <c r="B8" s="5" t="str">
        <f t="shared" si="0"/>
        <v>2015</v>
      </c>
      <c r="C8" s="5" t="str">
        <f t="shared" si="1"/>
        <v>Jul</v>
      </c>
      <c r="D8" s="1">
        <v>1534</v>
      </c>
      <c r="E8" s="3">
        <v>937</v>
      </c>
      <c r="F8" s="3">
        <v>-596.75</v>
      </c>
    </row>
    <row r="9" spans="1:6" x14ac:dyDescent="0.25">
      <c r="A9" s="5" t="s">
        <v>25</v>
      </c>
      <c r="B9" s="5" t="str">
        <f t="shared" si="0"/>
        <v>2015</v>
      </c>
      <c r="C9" s="5" t="str">
        <f t="shared" si="1"/>
        <v>Aug</v>
      </c>
      <c r="D9" s="1">
        <v>1523</v>
      </c>
      <c r="E9" s="3">
        <v>802</v>
      </c>
      <c r="F9" s="3">
        <v>-721.27</v>
      </c>
    </row>
    <row r="10" spans="1:6" x14ac:dyDescent="0.25">
      <c r="A10" s="5" t="s">
        <v>26</v>
      </c>
      <c r="B10" s="5" t="str">
        <f t="shared" si="0"/>
        <v>2015</v>
      </c>
      <c r="C10" s="5" t="str">
        <f t="shared" si="1"/>
        <v>Sep</v>
      </c>
      <c r="D10" s="1">
        <v>1583</v>
      </c>
      <c r="E10" s="3">
        <v>853</v>
      </c>
      <c r="F10" s="3">
        <v>-729.53</v>
      </c>
    </row>
    <row r="11" spans="1:6" x14ac:dyDescent="0.25">
      <c r="A11" s="5" t="s">
        <v>27</v>
      </c>
      <c r="B11" s="5" t="str">
        <f t="shared" si="0"/>
        <v>2015</v>
      </c>
      <c r="C11" s="5" t="str">
        <f t="shared" si="1"/>
        <v>Oct</v>
      </c>
      <c r="D11" s="1">
        <v>1638</v>
      </c>
      <c r="E11" s="3">
        <v>851</v>
      </c>
      <c r="F11" s="3">
        <v>-787.53</v>
      </c>
    </row>
    <row r="12" spans="1:6" x14ac:dyDescent="0.25">
      <c r="A12" s="5" t="s">
        <v>28</v>
      </c>
      <c r="B12" s="5" t="str">
        <f t="shared" si="0"/>
        <v>2015</v>
      </c>
      <c r="C12" s="5" t="str">
        <f t="shared" si="1"/>
        <v>Nov</v>
      </c>
      <c r="D12" s="1">
        <v>1465</v>
      </c>
      <c r="E12" s="3">
        <v>838</v>
      </c>
      <c r="F12" s="3">
        <v>-626.46</v>
      </c>
    </row>
    <row r="13" spans="1:6" x14ac:dyDescent="0.25">
      <c r="A13" s="5" t="s">
        <v>29</v>
      </c>
      <c r="B13" s="5" t="str">
        <f t="shared" si="0"/>
        <v>2015</v>
      </c>
      <c r="C13" s="5" t="str">
        <f t="shared" si="1"/>
        <v>Dec</v>
      </c>
      <c r="D13" s="1">
        <v>1645</v>
      </c>
      <c r="E13" s="3">
        <v>821</v>
      </c>
      <c r="F13" s="3">
        <v>-824.23</v>
      </c>
    </row>
    <row r="14" spans="1:6" x14ac:dyDescent="0.25">
      <c r="A14" s="5" t="s">
        <v>30</v>
      </c>
      <c r="B14" s="5" t="str">
        <f t="shared" si="0"/>
        <v>2016</v>
      </c>
      <c r="C14" s="5" t="str">
        <f t="shared" si="1"/>
        <v>Jan</v>
      </c>
      <c r="D14" s="2">
        <v>1589.1</v>
      </c>
      <c r="E14" s="3">
        <v>898.6</v>
      </c>
      <c r="F14" s="3">
        <v>-690.53</v>
      </c>
    </row>
    <row r="15" spans="1:6" x14ac:dyDescent="0.25">
      <c r="A15" s="5" t="s">
        <v>31</v>
      </c>
      <c r="B15" s="5" t="str">
        <f t="shared" si="0"/>
        <v>2016</v>
      </c>
      <c r="C15" s="5" t="str">
        <f t="shared" si="1"/>
        <v>Feb</v>
      </c>
      <c r="D15" s="2">
        <v>1439.3</v>
      </c>
      <c r="E15" s="3">
        <v>891.6</v>
      </c>
      <c r="F15" s="3">
        <v>-547.71</v>
      </c>
    </row>
    <row r="16" spans="1:6" x14ac:dyDescent="0.25">
      <c r="A16" s="5" t="s">
        <v>32</v>
      </c>
      <c r="B16" s="5" t="str">
        <f t="shared" si="0"/>
        <v>2016</v>
      </c>
      <c r="C16" s="5" t="str">
        <f t="shared" si="1"/>
        <v>Mar</v>
      </c>
      <c r="D16" s="2">
        <v>1566</v>
      </c>
      <c r="E16" s="3">
        <v>949</v>
      </c>
      <c r="F16" s="3">
        <v>-617.02</v>
      </c>
    </row>
    <row r="17" spans="1:6" x14ac:dyDescent="0.25">
      <c r="A17" s="5" t="s">
        <v>33</v>
      </c>
      <c r="B17" s="5" t="str">
        <f t="shared" si="0"/>
        <v>2016</v>
      </c>
      <c r="C17" s="5" t="str">
        <f t="shared" si="1"/>
        <v>Apr</v>
      </c>
      <c r="D17" s="2">
        <v>1460.9</v>
      </c>
      <c r="E17" s="3">
        <v>710.4</v>
      </c>
      <c r="F17" s="3">
        <v>-750.5</v>
      </c>
    </row>
    <row r="18" spans="1:6" x14ac:dyDescent="0.25">
      <c r="A18" s="5" t="s">
        <v>34</v>
      </c>
      <c r="B18" s="5" t="str">
        <f t="shared" si="0"/>
        <v>2016</v>
      </c>
      <c r="C18" s="5" t="str">
        <f t="shared" si="1"/>
        <v>May</v>
      </c>
      <c r="D18" s="2">
        <v>1589.8</v>
      </c>
      <c r="E18" s="3">
        <v>780.1</v>
      </c>
      <c r="F18" s="3">
        <v>-809.71</v>
      </c>
    </row>
    <row r="19" spans="1:6" x14ac:dyDescent="0.25">
      <c r="A19" s="5" t="s">
        <v>35</v>
      </c>
      <c r="B19" s="5" t="str">
        <f t="shared" si="0"/>
        <v>2016</v>
      </c>
      <c r="C19" s="5" t="str">
        <f t="shared" si="1"/>
        <v>Jun</v>
      </c>
      <c r="D19" s="2">
        <v>1675.8</v>
      </c>
      <c r="E19" s="3">
        <v>900.6</v>
      </c>
      <c r="F19" s="3">
        <v>-775.24</v>
      </c>
    </row>
    <row r="20" spans="1:6" x14ac:dyDescent="0.25">
      <c r="A20" s="5" t="s">
        <v>36</v>
      </c>
      <c r="B20" s="5" t="str">
        <f t="shared" si="0"/>
        <v>2016</v>
      </c>
      <c r="C20" s="5" t="str">
        <f t="shared" si="1"/>
        <v>Jul</v>
      </c>
      <c r="D20" s="2">
        <v>1432.8</v>
      </c>
      <c r="E20" s="3">
        <v>891.5</v>
      </c>
      <c r="F20" s="3">
        <v>-541.25</v>
      </c>
    </row>
    <row r="21" spans="1:6" x14ac:dyDescent="0.25">
      <c r="A21" s="5" t="s">
        <v>37</v>
      </c>
      <c r="B21" s="5" t="str">
        <f t="shared" si="0"/>
        <v>2016</v>
      </c>
      <c r="C21" s="5" t="str">
        <f t="shared" si="1"/>
        <v>Aug</v>
      </c>
      <c r="D21" s="2">
        <v>1649.1</v>
      </c>
      <c r="E21" s="3">
        <v>866.3</v>
      </c>
      <c r="F21" s="3">
        <v>-782.78</v>
      </c>
    </row>
    <row r="22" spans="1:6" x14ac:dyDescent="0.25">
      <c r="A22" s="5" t="s">
        <v>38</v>
      </c>
      <c r="B22" s="5" t="str">
        <f t="shared" si="0"/>
        <v>2016</v>
      </c>
      <c r="C22" s="5" t="str">
        <f t="shared" si="1"/>
        <v>Sep</v>
      </c>
      <c r="D22" s="2">
        <v>1542.9</v>
      </c>
      <c r="E22" s="3">
        <v>897.9</v>
      </c>
      <c r="F22" s="3">
        <v>-610.38</v>
      </c>
    </row>
    <row r="23" spans="1:6" x14ac:dyDescent="0.25">
      <c r="A23" s="5" t="s">
        <v>39</v>
      </c>
      <c r="B23" s="5" t="str">
        <f t="shared" si="0"/>
        <v>2016</v>
      </c>
      <c r="C23" s="5" t="str">
        <f t="shared" si="1"/>
        <v>Oct</v>
      </c>
      <c r="D23" s="2">
        <v>1906.2</v>
      </c>
      <c r="E23" s="3">
        <v>855</v>
      </c>
      <c r="F23" s="3">
        <v>-868.48</v>
      </c>
    </row>
    <row r="24" spans="1:6" x14ac:dyDescent="0.25">
      <c r="A24" s="5" t="s">
        <v>40</v>
      </c>
      <c r="B24" s="5" t="str">
        <f t="shared" si="0"/>
        <v>2016</v>
      </c>
      <c r="C24" s="5" t="str">
        <f t="shared" si="1"/>
        <v>Nov</v>
      </c>
      <c r="D24" s="2">
        <v>1732.1</v>
      </c>
      <c r="E24" s="3">
        <v>809.7</v>
      </c>
      <c r="F24" s="3">
        <v>-922.43</v>
      </c>
    </row>
    <row r="25" spans="1:6" x14ac:dyDescent="0.25">
      <c r="A25" s="5" t="s">
        <v>41</v>
      </c>
      <c r="B25" s="5" t="str">
        <f t="shared" si="0"/>
        <v>2016</v>
      </c>
      <c r="C25" s="5" t="str">
        <f t="shared" si="1"/>
        <v>Dec</v>
      </c>
      <c r="D25" s="2">
        <v>1816.1</v>
      </c>
      <c r="E25" s="3">
        <v>859</v>
      </c>
      <c r="F25" s="3">
        <v>-957.06</v>
      </c>
    </row>
    <row r="26" spans="1:6" x14ac:dyDescent="0.25">
      <c r="A26" s="5" t="s">
        <v>42</v>
      </c>
      <c r="B26" s="5" t="str">
        <f t="shared" si="0"/>
        <v>2017</v>
      </c>
      <c r="C26" s="5" t="str">
        <f t="shared" si="1"/>
        <v>Jan</v>
      </c>
      <c r="D26" s="2">
        <v>1798.9</v>
      </c>
      <c r="E26" s="3">
        <v>864.7</v>
      </c>
      <c r="F26" s="3">
        <v>-934.23</v>
      </c>
    </row>
    <row r="27" spans="1:6" x14ac:dyDescent="0.25">
      <c r="A27" s="5" t="s">
        <v>43</v>
      </c>
      <c r="B27" s="5" t="str">
        <f t="shared" si="0"/>
        <v>2017</v>
      </c>
      <c r="C27" s="5" t="str">
        <f t="shared" si="1"/>
        <v>Feb</v>
      </c>
      <c r="D27" s="2">
        <v>1611.2</v>
      </c>
      <c r="E27" s="3">
        <v>867.8</v>
      </c>
      <c r="F27" s="3">
        <v>-743.35</v>
      </c>
    </row>
    <row r="28" spans="1:6" x14ac:dyDescent="0.25">
      <c r="A28" s="5" t="s">
        <v>44</v>
      </c>
      <c r="B28" s="5" t="str">
        <f t="shared" si="0"/>
        <v>2017</v>
      </c>
      <c r="C28" s="5" t="str">
        <f t="shared" si="1"/>
        <v>Mar</v>
      </c>
      <c r="D28" s="2">
        <v>1869.3</v>
      </c>
      <c r="E28" s="2">
        <v>1041.8</v>
      </c>
      <c r="F28" s="3">
        <v>-827.5</v>
      </c>
    </row>
    <row r="29" spans="1:6" x14ac:dyDescent="0.25">
      <c r="A29" s="5" t="s">
        <v>45</v>
      </c>
      <c r="B29" s="5" t="str">
        <f t="shared" si="0"/>
        <v>2017</v>
      </c>
      <c r="C29" s="5" t="str">
        <f t="shared" si="1"/>
        <v>Apr</v>
      </c>
      <c r="D29" s="2">
        <v>1603.9</v>
      </c>
      <c r="E29" s="3">
        <v>794.7</v>
      </c>
      <c r="F29" s="3">
        <v>-809.22</v>
      </c>
    </row>
    <row r="30" spans="1:6" x14ac:dyDescent="0.25">
      <c r="A30" s="5" t="s">
        <v>46</v>
      </c>
      <c r="B30" s="5" t="str">
        <f t="shared" si="0"/>
        <v>2017</v>
      </c>
      <c r="C30" s="5" t="str">
        <f t="shared" si="1"/>
        <v>May</v>
      </c>
      <c r="D30" s="2">
        <v>1726.8</v>
      </c>
      <c r="E30" s="3">
        <v>841.2</v>
      </c>
      <c r="F30" s="3">
        <v>-883.5</v>
      </c>
    </row>
    <row r="31" spans="1:6" x14ac:dyDescent="0.25">
      <c r="A31" s="5" t="s">
        <v>47</v>
      </c>
      <c r="B31" s="5" t="str">
        <f t="shared" si="0"/>
        <v>2017</v>
      </c>
      <c r="C31" s="5" t="str">
        <f t="shared" si="1"/>
        <v>Jun</v>
      </c>
      <c r="D31" s="2">
        <v>1540.9</v>
      </c>
      <c r="E31" s="3">
        <v>987.3</v>
      </c>
      <c r="F31" s="3">
        <v>-553.63</v>
      </c>
    </row>
    <row r="32" spans="1:6" x14ac:dyDescent="0.25">
      <c r="A32" s="5" t="s">
        <v>48</v>
      </c>
      <c r="B32" s="5" t="str">
        <f t="shared" si="0"/>
        <v>2017</v>
      </c>
      <c r="C32" s="5" t="str">
        <f t="shared" si="1"/>
        <v>Jul</v>
      </c>
      <c r="D32" s="2">
        <v>1591.1</v>
      </c>
      <c r="E32" s="2">
        <v>1014.9</v>
      </c>
      <c r="F32" s="3">
        <v>-575.95000000000005</v>
      </c>
    </row>
    <row r="33" spans="1:6" x14ac:dyDescent="0.25">
      <c r="A33" s="5" t="s">
        <v>49</v>
      </c>
      <c r="B33" s="5" t="str">
        <f t="shared" si="0"/>
        <v>2017</v>
      </c>
      <c r="C33" s="5" t="str">
        <f t="shared" si="1"/>
        <v>Aug</v>
      </c>
      <c r="D33" s="2">
        <v>1856.9</v>
      </c>
      <c r="E33" s="2">
        <v>1000.6</v>
      </c>
      <c r="F33" s="3">
        <v>-856.26</v>
      </c>
    </row>
    <row r="34" spans="1:6" x14ac:dyDescent="0.25">
      <c r="A34" s="5" t="s">
        <v>50</v>
      </c>
      <c r="B34" s="5" t="str">
        <f t="shared" si="0"/>
        <v>2017</v>
      </c>
      <c r="C34" s="5" t="str">
        <f t="shared" si="1"/>
        <v>Sep</v>
      </c>
      <c r="D34" s="2">
        <v>1666.7</v>
      </c>
      <c r="E34" s="2">
        <v>1011</v>
      </c>
      <c r="F34" s="3">
        <v>-655.63</v>
      </c>
    </row>
    <row r="35" spans="1:6" x14ac:dyDescent="0.25">
      <c r="A35" s="5" t="s">
        <v>51</v>
      </c>
      <c r="B35" s="5" t="str">
        <f t="shared" si="0"/>
        <v>2017</v>
      </c>
      <c r="C35" s="5" t="str">
        <f t="shared" si="1"/>
        <v>Oct</v>
      </c>
      <c r="D35" s="2">
        <v>1727.2</v>
      </c>
      <c r="E35" s="3">
        <v>975.6</v>
      </c>
      <c r="F35" s="3">
        <v>-751.66</v>
      </c>
    </row>
    <row r="36" spans="1:6" x14ac:dyDescent="0.25">
      <c r="A36" s="5" t="s">
        <v>52</v>
      </c>
      <c r="B36" s="5" t="str">
        <f t="shared" si="0"/>
        <v>2017</v>
      </c>
      <c r="C36" s="5" t="str">
        <f t="shared" si="1"/>
        <v>Nov</v>
      </c>
      <c r="D36" s="2">
        <v>1940.4</v>
      </c>
      <c r="E36" s="3">
        <v>940.9</v>
      </c>
      <c r="F36" s="3">
        <v>-999.45</v>
      </c>
    </row>
    <row r="37" spans="1:6" x14ac:dyDescent="0.25">
      <c r="A37" s="5" t="s">
        <v>53</v>
      </c>
      <c r="B37" s="5" t="str">
        <f t="shared" si="0"/>
        <v>2017</v>
      </c>
      <c r="C37" s="5" t="str">
        <f t="shared" si="1"/>
        <v>Dec</v>
      </c>
      <c r="D37" s="2">
        <v>2048.5</v>
      </c>
      <c r="E37" s="2">
        <v>1019.5</v>
      </c>
      <c r="F37" s="2">
        <v>-1029</v>
      </c>
    </row>
    <row r="38" spans="1:6" x14ac:dyDescent="0.25">
      <c r="A38" s="5" t="s">
        <v>54</v>
      </c>
      <c r="B38" s="5" t="str">
        <f t="shared" si="0"/>
        <v>2018</v>
      </c>
      <c r="C38" s="5" t="str">
        <f t="shared" si="1"/>
        <v>Jan</v>
      </c>
      <c r="D38" s="2">
        <v>2014.5</v>
      </c>
      <c r="E38" s="3">
        <v>965.4</v>
      </c>
      <c r="F38" s="2">
        <v>-1049.1199999999999</v>
      </c>
    </row>
    <row r="39" spans="1:6" x14ac:dyDescent="0.25">
      <c r="A39" s="5" t="s">
        <v>55</v>
      </c>
      <c r="B39" s="5" t="str">
        <f t="shared" si="0"/>
        <v>2018</v>
      </c>
      <c r="C39" s="5" t="str">
        <f t="shared" si="1"/>
        <v>Feb</v>
      </c>
      <c r="D39" s="2">
        <v>1978</v>
      </c>
      <c r="E39" s="3">
        <v>915.7</v>
      </c>
      <c r="F39" s="2">
        <v>-1062.3399999999999</v>
      </c>
    </row>
    <row r="40" spans="1:6" x14ac:dyDescent="0.25">
      <c r="A40" s="5" t="s">
        <v>56</v>
      </c>
      <c r="B40" s="5" t="str">
        <f t="shared" si="0"/>
        <v>2018</v>
      </c>
      <c r="C40" s="5" t="str">
        <f t="shared" si="1"/>
        <v>Mar</v>
      </c>
      <c r="D40" s="2">
        <v>1978.5</v>
      </c>
      <c r="E40" s="2">
        <v>1107.7</v>
      </c>
      <c r="F40" s="3">
        <v>-870.86</v>
      </c>
    </row>
    <row r="41" spans="1:6" x14ac:dyDescent="0.25">
      <c r="A41" s="5" t="s">
        <v>57</v>
      </c>
      <c r="B41" s="5" t="str">
        <f t="shared" si="0"/>
        <v>2018</v>
      </c>
      <c r="C41" s="5" t="str">
        <f t="shared" si="1"/>
        <v>Apr</v>
      </c>
      <c r="D41" s="2">
        <v>1793.6</v>
      </c>
      <c r="E41" s="3">
        <v>795.1</v>
      </c>
      <c r="F41" s="3">
        <v>-998.57</v>
      </c>
    </row>
    <row r="42" spans="1:6" x14ac:dyDescent="0.25">
      <c r="A42" s="5" t="s">
        <v>58</v>
      </c>
      <c r="B42" s="5" t="str">
        <f t="shared" si="0"/>
        <v>2018</v>
      </c>
      <c r="C42" s="5" t="str">
        <f t="shared" si="1"/>
        <v>May</v>
      </c>
      <c r="D42" s="2">
        <v>1857</v>
      </c>
      <c r="E42" s="3">
        <v>923.8</v>
      </c>
      <c r="F42" s="3">
        <v>-933.2</v>
      </c>
    </row>
    <row r="43" spans="1:6" x14ac:dyDescent="0.25">
      <c r="A43" s="5" t="s">
        <v>59</v>
      </c>
      <c r="B43" s="5" t="str">
        <f t="shared" si="0"/>
        <v>2018</v>
      </c>
      <c r="C43" s="5" t="str">
        <f t="shared" si="1"/>
        <v>Jun</v>
      </c>
      <c r="D43" s="2">
        <v>1819.5</v>
      </c>
      <c r="E43" s="2">
        <v>1024.4000000000001</v>
      </c>
      <c r="F43" s="3">
        <v>-795.11</v>
      </c>
    </row>
    <row r="44" spans="1:6" x14ac:dyDescent="0.25">
      <c r="A44" s="5" t="s">
        <v>60</v>
      </c>
      <c r="B44" s="5" t="str">
        <f t="shared" si="0"/>
        <v>2018</v>
      </c>
      <c r="C44" s="5" t="str">
        <f t="shared" si="1"/>
        <v>Jul</v>
      </c>
      <c r="D44" s="2">
        <v>1754.5</v>
      </c>
      <c r="E44" s="2">
        <v>1073.2</v>
      </c>
      <c r="F44" s="3">
        <v>-681.3</v>
      </c>
    </row>
    <row r="45" spans="1:6" x14ac:dyDescent="0.25">
      <c r="A45" s="5" t="s">
        <v>61</v>
      </c>
      <c r="B45" s="5" t="str">
        <f t="shared" si="0"/>
        <v>2018</v>
      </c>
      <c r="C45" s="5" t="str">
        <f t="shared" si="1"/>
        <v>Aug</v>
      </c>
      <c r="D45" s="2">
        <v>1887.12</v>
      </c>
      <c r="E45" s="2">
        <v>1037.3599999999999</v>
      </c>
      <c r="F45" s="3">
        <v>-849.76</v>
      </c>
    </row>
    <row r="46" spans="1:6" x14ac:dyDescent="0.25">
      <c r="A46" s="5" t="s">
        <v>62</v>
      </c>
      <c r="B46" s="5" t="str">
        <f t="shared" si="0"/>
        <v>2018</v>
      </c>
      <c r="C46" s="5" t="str">
        <f t="shared" si="1"/>
        <v>Sep</v>
      </c>
      <c r="D46" s="2">
        <v>1768.41</v>
      </c>
      <c r="E46" s="2">
        <v>1055.21</v>
      </c>
      <c r="F46" s="3">
        <v>-713.2</v>
      </c>
    </row>
    <row r="47" spans="1:6" x14ac:dyDescent="0.25">
      <c r="A47" s="5" t="s">
        <v>63</v>
      </c>
      <c r="B47" s="5" t="str">
        <f t="shared" si="0"/>
        <v>2018</v>
      </c>
      <c r="C47" s="5" t="str">
        <f t="shared" si="1"/>
        <v>Oct</v>
      </c>
      <c r="D47" s="2">
        <v>1882.47</v>
      </c>
      <c r="E47" s="3">
        <v>979.1</v>
      </c>
      <c r="F47" s="3">
        <v>-903.38</v>
      </c>
    </row>
    <row r="48" spans="1:6" x14ac:dyDescent="0.25">
      <c r="A48" s="5" t="s">
        <v>64</v>
      </c>
      <c r="B48" s="5" t="str">
        <f t="shared" si="0"/>
        <v>2018</v>
      </c>
      <c r="C48" s="5" t="str">
        <f t="shared" si="1"/>
        <v>Nov</v>
      </c>
      <c r="D48" s="2">
        <v>1764.61</v>
      </c>
      <c r="E48" s="3">
        <v>979.55</v>
      </c>
      <c r="F48" s="3">
        <v>-785.05</v>
      </c>
    </row>
    <row r="49" spans="1:6" x14ac:dyDescent="0.25">
      <c r="A49" s="5" t="s">
        <v>65</v>
      </c>
      <c r="B49" s="5" t="str">
        <f t="shared" si="0"/>
        <v>2018</v>
      </c>
      <c r="C49" s="5" t="str">
        <f t="shared" si="1"/>
        <v>Dec</v>
      </c>
      <c r="D49" s="2">
        <v>1734.58</v>
      </c>
      <c r="E49" s="2">
        <v>1033.3800000000001</v>
      </c>
      <c r="F49" s="3">
        <v>-701.2</v>
      </c>
    </row>
    <row r="50" spans="1:6" x14ac:dyDescent="0.25">
      <c r="A50" s="5" t="s">
        <v>66</v>
      </c>
      <c r="B50" s="5" t="str">
        <f t="shared" si="0"/>
        <v>2019</v>
      </c>
      <c r="C50" s="5" t="str">
        <f t="shared" si="1"/>
        <v>Jan</v>
      </c>
      <c r="D50" s="2">
        <v>1655.46</v>
      </c>
      <c r="E50" s="2">
        <v>1038.1500000000001</v>
      </c>
      <c r="F50" s="3">
        <v>-617.30999999999995</v>
      </c>
    </row>
    <row r="51" spans="1:6" x14ac:dyDescent="0.25">
      <c r="A51" s="5" t="s">
        <v>67</v>
      </c>
      <c r="B51" s="5" t="str">
        <f t="shared" si="0"/>
        <v>2019</v>
      </c>
      <c r="C51" s="5" t="str">
        <f t="shared" si="1"/>
        <v>Feb</v>
      </c>
      <c r="D51" s="2">
        <v>1432.4</v>
      </c>
      <c r="E51" s="3">
        <v>981.12</v>
      </c>
      <c r="F51" s="3">
        <v>-451.28</v>
      </c>
    </row>
    <row r="52" spans="1:6" x14ac:dyDescent="0.25">
      <c r="A52" s="5" t="s">
        <v>68</v>
      </c>
      <c r="B52" s="5" t="str">
        <f t="shared" si="0"/>
        <v>2019</v>
      </c>
      <c r="C52" s="5" t="str">
        <f t="shared" si="1"/>
        <v>Mar</v>
      </c>
      <c r="D52" s="2">
        <v>1729.04</v>
      </c>
      <c r="E52" s="2">
        <v>1136.8599999999999</v>
      </c>
      <c r="F52" s="3">
        <v>-592.17999999999995</v>
      </c>
    </row>
    <row r="53" spans="1:6" x14ac:dyDescent="0.25">
      <c r="A53" s="5" t="s">
        <v>69</v>
      </c>
      <c r="B53" s="5" t="str">
        <f t="shared" si="0"/>
        <v>2019</v>
      </c>
      <c r="C53" s="5" t="str">
        <f t="shared" si="1"/>
        <v>Apr</v>
      </c>
      <c r="D53" s="2">
        <v>1595.57</v>
      </c>
      <c r="E53" s="3">
        <v>798.11</v>
      </c>
      <c r="F53" s="3">
        <v>-797.47</v>
      </c>
    </row>
    <row r="54" spans="1:6" x14ac:dyDescent="0.25">
      <c r="A54" s="5" t="s">
        <v>70</v>
      </c>
      <c r="B54" s="5" t="str">
        <f t="shared" si="0"/>
        <v>2019</v>
      </c>
      <c r="C54" s="5" t="str">
        <f t="shared" si="1"/>
        <v>May</v>
      </c>
      <c r="D54" s="2">
        <v>1783.69</v>
      </c>
      <c r="E54" s="3">
        <v>961.02</v>
      </c>
      <c r="F54" s="3">
        <v>-822.67</v>
      </c>
    </row>
    <row r="55" spans="1:6" x14ac:dyDescent="0.25">
      <c r="A55" s="5" t="s">
        <v>71</v>
      </c>
      <c r="B55" s="5" t="str">
        <f t="shared" si="0"/>
        <v>2019</v>
      </c>
      <c r="C55" s="5" t="str">
        <f t="shared" si="1"/>
        <v>Jun</v>
      </c>
      <c r="D55" s="2">
        <v>1399.84</v>
      </c>
      <c r="E55" s="2">
        <v>1083.95</v>
      </c>
      <c r="F55" s="3">
        <v>-315.89</v>
      </c>
    </row>
    <row r="56" spans="1:6" x14ac:dyDescent="0.25">
      <c r="A56" s="5" t="s">
        <v>72</v>
      </c>
      <c r="B56" s="5" t="str">
        <f t="shared" si="0"/>
        <v>2019</v>
      </c>
      <c r="C56" s="5" t="str">
        <f t="shared" si="1"/>
        <v>Jul</v>
      </c>
      <c r="D56" s="2">
        <v>1715.92</v>
      </c>
      <c r="E56" s="3">
        <v>998.53</v>
      </c>
      <c r="F56" s="3">
        <v>-717.38</v>
      </c>
    </row>
    <row r="57" spans="1:6" x14ac:dyDescent="0.25">
      <c r="A57" s="5" t="s">
        <v>73</v>
      </c>
      <c r="B57" s="5" t="str">
        <f t="shared" si="0"/>
        <v>2019</v>
      </c>
      <c r="C57" s="5" t="str">
        <f t="shared" si="1"/>
        <v>Aug</v>
      </c>
      <c r="D57" s="2">
        <v>1573.61</v>
      </c>
      <c r="E57" s="2">
        <v>1033.33</v>
      </c>
      <c r="F57" s="3">
        <v>-541.1</v>
      </c>
    </row>
    <row r="58" spans="1:6" x14ac:dyDescent="0.25">
      <c r="A58" s="5" t="s">
        <v>74</v>
      </c>
      <c r="B58" s="5" t="str">
        <f t="shared" si="0"/>
        <v>2019</v>
      </c>
      <c r="C58" s="5" t="str">
        <f t="shared" si="1"/>
        <v>Sep</v>
      </c>
      <c r="D58" s="2">
        <v>1710.54</v>
      </c>
      <c r="E58" s="3">
        <v>953.75</v>
      </c>
      <c r="F58" s="3">
        <v>-756.78</v>
      </c>
    </row>
    <row r="59" spans="1:6" x14ac:dyDescent="0.25">
      <c r="A59" s="5" t="s">
        <v>75</v>
      </c>
      <c r="B59" s="5" t="str">
        <f t="shared" si="0"/>
        <v>2019</v>
      </c>
      <c r="C59" s="5" t="str">
        <f t="shared" si="1"/>
        <v>Oct</v>
      </c>
      <c r="D59" s="2">
        <v>1815.73</v>
      </c>
      <c r="E59" s="3">
        <v>977.28</v>
      </c>
      <c r="F59" s="3">
        <v>-838.44</v>
      </c>
    </row>
    <row r="60" spans="1:6" x14ac:dyDescent="0.25">
      <c r="A60" s="5" t="s">
        <v>76</v>
      </c>
      <c r="B60" s="5" t="str">
        <f t="shared" si="0"/>
        <v>2019</v>
      </c>
      <c r="C60" s="5" t="str">
        <f t="shared" si="1"/>
        <v>Nov</v>
      </c>
      <c r="D60" s="2">
        <v>1741.09</v>
      </c>
      <c r="E60" s="3">
        <v>978.79</v>
      </c>
      <c r="F60" s="3">
        <v>-762.31</v>
      </c>
    </row>
    <row r="61" spans="1:6" x14ac:dyDescent="0.25">
      <c r="A61" s="5" t="s">
        <v>77</v>
      </c>
      <c r="B61" s="5" t="str">
        <f t="shared" si="0"/>
        <v>2019</v>
      </c>
      <c r="C61" s="5" t="str">
        <f t="shared" si="1"/>
        <v>Dec</v>
      </c>
      <c r="D61" s="2">
        <v>1784.19</v>
      </c>
      <c r="E61" s="3">
        <v>999.94</v>
      </c>
      <c r="F61" s="3">
        <v>-784.25</v>
      </c>
    </row>
    <row r="62" spans="1:6" x14ac:dyDescent="0.25">
      <c r="A62" s="5" t="s">
        <v>78</v>
      </c>
      <c r="B62" s="5" t="str">
        <f t="shared" si="0"/>
        <v>2020</v>
      </c>
      <c r="C62" s="5" t="str">
        <f t="shared" si="1"/>
        <v>Jan</v>
      </c>
      <c r="D62" s="2">
        <v>1735.33</v>
      </c>
      <c r="E62" s="2">
        <v>1004.89</v>
      </c>
      <c r="F62" s="3">
        <v>-730.44</v>
      </c>
    </row>
    <row r="63" spans="1:6" x14ac:dyDescent="0.25">
      <c r="A63" s="5" t="s">
        <v>79</v>
      </c>
      <c r="B63" s="5" t="str">
        <f t="shared" si="0"/>
        <v>2020</v>
      </c>
      <c r="C63" s="5" t="str">
        <f t="shared" si="1"/>
        <v>Feb</v>
      </c>
      <c r="D63" s="2">
        <v>1562.32</v>
      </c>
      <c r="E63" s="3">
        <v>988.42</v>
      </c>
      <c r="F63" s="3">
        <v>-573.80999999999995</v>
      </c>
    </row>
    <row r="64" spans="1:6" x14ac:dyDescent="0.25">
      <c r="A64" s="5" t="s">
        <v>80</v>
      </c>
      <c r="B64" s="5" t="str">
        <f t="shared" si="0"/>
        <v>2020</v>
      </c>
      <c r="C64" s="5" t="str">
        <f t="shared" si="1"/>
        <v>Mar</v>
      </c>
      <c r="D64" s="2">
        <v>1205.05</v>
      </c>
      <c r="E64" s="3">
        <v>656.36</v>
      </c>
      <c r="F64" s="3">
        <v>-548.83000000000004</v>
      </c>
    </row>
    <row r="65" spans="1:6" x14ac:dyDescent="0.25">
      <c r="A65" s="5" t="s">
        <v>81</v>
      </c>
      <c r="B65" s="5" t="str">
        <f t="shared" si="0"/>
        <v>2020</v>
      </c>
      <c r="C65" s="5" t="str">
        <f t="shared" si="1"/>
        <v>Apr</v>
      </c>
      <c r="D65" s="2">
        <v>1122.6099999999999</v>
      </c>
      <c r="E65" s="3">
        <v>282.31</v>
      </c>
      <c r="F65" s="3">
        <v>-840.3</v>
      </c>
    </row>
    <row r="66" spans="1:6" x14ac:dyDescent="0.25">
      <c r="A66" s="5" t="s">
        <v>82</v>
      </c>
      <c r="B66" s="5" t="str">
        <f t="shared" si="0"/>
        <v>2020</v>
      </c>
      <c r="C66" s="5" t="str">
        <f t="shared" si="1"/>
        <v>May</v>
      </c>
      <c r="D66" s="3">
        <v>993.82</v>
      </c>
      <c r="E66" s="3">
        <v>586.89</v>
      </c>
      <c r="F66" s="3">
        <v>-407.14</v>
      </c>
    </row>
    <row r="67" spans="1:6" x14ac:dyDescent="0.25">
      <c r="A67" s="5" t="s">
        <v>83</v>
      </c>
      <c r="B67" s="5" t="str">
        <f t="shared" ref="B67:B122" si="2">LEFT(A67,4)</f>
        <v>2020</v>
      </c>
      <c r="C67" s="5" t="str">
        <f t="shared" ref="C67:C122" si="3">RIGHT(A67,3)</f>
        <v>Jun</v>
      </c>
      <c r="D67" s="2">
        <v>1055.45</v>
      </c>
      <c r="E67" s="3">
        <v>894.14</v>
      </c>
      <c r="F67" s="3">
        <v>-161.32</v>
      </c>
    </row>
    <row r="68" spans="1:6" x14ac:dyDescent="0.25">
      <c r="A68" s="5" t="s">
        <v>84</v>
      </c>
      <c r="B68" s="5" t="str">
        <f t="shared" si="2"/>
        <v>2020</v>
      </c>
      <c r="C68" s="5" t="str">
        <f t="shared" si="3"/>
        <v>Jul</v>
      </c>
      <c r="D68" s="2">
        <v>1293.69</v>
      </c>
      <c r="E68" s="2">
        <v>1085.02</v>
      </c>
      <c r="F68" s="3">
        <v>-208.67</v>
      </c>
    </row>
    <row r="69" spans="1:6" x14ac:dyDescent="0.25">
      <c r="A69" s="5" t="s">
        <v>85</v>
      </c>
      <c r="B69" s="5" t="str">
        <f t="shared" si="2"/>
        <v>2020</v>
      </c>
      <c r="C69" s="5" t="str">
        <f t="shared" si="3"/>
        <v>Aug</v>
      </c>
      <c r="D69" s="2">
        <v>1289.0899999999999</v>
      </c>
      <c r="E69" s="3">
        <v>947.23</v>
      </c>
      <c r="F69" s="3">
        <v>-341.86</v>
      </c>
    </row>
    <row r="70" spans="1:6" x14ac:dyDescent="0.25">
      <c r="A70" s="5" t="s">
        <v>86</v>
      </c>
      <c r="B70" s="5" t="str">
        <f t="shared" si="2"/>
        <v>2020</v>
      </c>
      <c r="C70" s="5" t="str">
        <f t="shared" si="3"/>
        <v>Sep</v>
      </c>
      <c r="D70" s="2">
        <v>1524.88</v>
      </c>
      <c r="E70" s="3">
        <v>999.96</v>
      </c>
      <c r="F70" s="3">
        <v>-524.84</v>
      </c>
    </row>
    <row r="71" spans="1:6" x14ac:dyDescent="0.25">
      <c r="A71" s="5" t="s">
        <v>87</v>
      </c>
      <c r="B71" s="5" t="str">
        <f t="shared" si="2"/>
        <v>2020</v>
      </c>
      <c r="C71" s="5" t="str">
        <f t="shared" si="3"/>
        <v>Oct</v>
      </c>
      <c r="D71" s="2">
        <v>1362.78</v>
      </c>
      <c r="E71" s="3">
        <v>848.44</v>
      </c>
      <c r="F71" s="3">
        <v>-508.51</v>
      </c>
    </row>
    <row r="72" spans="1:6" x14ac:dyDescent="0.25">
      <c r="A72" s="5" t="s">
        <v>88</v>
      </c>
      <c r="B72" s="5" t="str">
        <f t="shared" si="2"/>
        <v>2020</v>
      </c>
      <c r="C72" s="5" t="str">
        <f t="shared" si="3"/>
        <v>Nov</v>
      </c>
      <c r="D72" s="2">
        <v>1383.7</v>
      </c>
      <c r="E72" s="3">
        <v>819.17</v>
      </c>
      <c r="F72" s="3">
        <v>-600.04</v>
      </c>
    </row>
    <row r="73" spans="1:6" x14ac:dyDescent="0.25">
      <c r="A73" s="5" t="s">
        <v>89</v>
      </c>
      <c r="B73" s="5" t="str">
        <f t="shared" si="2"/>
        <v>2020</v>
      </c>
      <c r="C73" s="5" t="str">
        <f t="shared" si="3"/>
        <v>Dec</v>
      </c>
      <c r="D73" s="2">
        <v>1526.65</v>
      </c>
      <c r="E73" s="3">
        <v>964.48</v>
      </c>
      <c r="F73" s="3">
        <v>-562.20000000000005</v>
      </c>
    </row>
    <row r="74" spans="1:6" x14ac:dyDescent="0.25">
      <c r="A74" s="5" t="s">
        <v>90</v>
      </c>
      <c r="B74" s="5" t="str">
        <f t="shared" si="2"/>
        <v>2021</v>
      </c>
      <c r="C74" s="5" t="str">
        <f t="shared" si="3"/>
        <v>Jan</v>
      </c>
      <c r="D74" s="2">
        <v>1591.59</v>
      </c>
      <c r="E74" s="3">
        <v>936.66</v>
      </c>
      <c r="F74" s="3">
        <v>-654.92999999999995</v>
      </c>
    </row>
    <row r="75" spans="1:6" x14ac:dyDescent="0.25">
      <c r="A75" s="5" t="s">
        <v>91</v>
      </c>
      <c r="B75" s="5" t="str">
        <f t="shared" si="2"/>
        <v>2021</v>
      </c>
      <c r="C75" s="5" t="str">
        <f t="shared" si="3"/>
        <v>Feb</v>
      </c>
      <c r="D75" s="2">
        <v>1523.6</v>
      </c>
      <c r="E75" s="3">
        <v>951.72</v>
      </c>
      <c r="F75" s="3">
        <v>-571.88</v>
      </c>
    </row>
    <row r="76" spans="1:6" x14ac:dyDescent="0.25">
      <c r="A76" s="5" t="s">
        <v>92</v>
      </c>
      <c r="B76" s="5" t="str">
        <f t="shared" si="2"/>
        <v>2021</v>
      </c>
      <c r="C76" s="5" t="str">
        <f t="shared" si="3"/>
        <v>Mar</v>
      </c>
      <c r="D76" s="2">
        <v>1925.93</v>
      </c>
      <c r="E76" s="2">
        <v>1093.77</v>
      </c>
      <c r="F76" s="3">
        <v>-832.16</v>
      </c>
    </row>
    <row r="77" spans="1:6" x14ac:dyDescent="0.25">
      <c r="A77" s="5" t="s">
        <v>93</v>
      </c>
      <c r="B77" s="5" t="str">
        <f t="shared" si="2"/>
        <v>2021</v>
      </c>
      <c r="C77" s="5" t="str">
        <f t="shared" si="3"/>
        <v>Apr</v>
      </c>
      <c r="D77" s="2">
        <v>1706.97</v>
      </c>
      <c r="E77" s="3">
        <v>818.18</v>
      </c>
      <c r="F77" s="3">
        <v>-888.79</v>
      </c>
    </row>
    <row r="78" spans="1:6" x14ac:dyDescent="0.25">
      <c r="A78" s="5" t="s">
        <v>94</v>
      </c>
      <c r="B78" s="5" t="str">
        <f t="shared" si="2"/>
        <v>2021</v>
      </c>
      <c r="C78" s="5" t="str">
        <f t="shared" si="3"/>
        <v>May</v>
      </c>
      <c r="D78" s="2">
        <v>1607.43</v>
      </c>
      <c r="E78" s="3">
        <v>891.7</v>
      </c>
      <c r="F78" s="3">
        <v>-715.73</v>
      </c>
    </row>
    <row r="79" spans="1:6" x14ac:dyDescent="0.25">
      <c r="A79" s="5" t="s">
        <v>95</v>
      </c>
      <c r="B79" s="5" t="str">
        <f t="shared" si="2"/>
        <v>2021</v>
      </c>
      <c r="C79" s="5" t="str">
        <f t="shared" si="3"/>
        <v>Jun</v>
      </c>
      <c r="D79" s="2">
        <v>1659.2</v>
      </c>
      <c r="E79" s="2">
        <v>1007.01</v>
      </c>
      <c r="F79" s="3">
        <v>-652.19000000000005</v>
      </c>
    </row>
    <row r="80" spans="1:6" x14ac:dyDescent="0.25">
      <c r="A80" s="5" t="s">
        <v>96</v>
      </c>
      <c r="B80" s="5" t="str">
        <f t="shared" si="2"/>
        <v>2021</v>
      </c>
      <c r="C80" s="5" t="str">
        <f t="shared" si="3"/>
        <v>Jul</v>
      </c>
      <c r="D80" s="2">
        <v>1710.1</v>
      </c>
      <c r="E80" s="2">
        <v>1103.93</v>
      </c>
      <c r="F80" s="3">
        <v>-606.16</v>
      </c>
    </row>
    <row r="81" spans="1:6" x14ac:dyDescent="0.25">
      <c r="A81" s="5" t="s">
        <v>97</v>
      </c>
      <c r="B81" s="5" t="str">
        <f t="shared" si="2"/>
        <v>2021</v>
      </c>
      <c r="C81" s="5" t="str">
        <f t="shared" si="3"/>
        <v>Aug</v>
      </c>
      <c r="D81" s="2">
        <v>1686.67</v>
      </c>
      <c r="E81" s="2">
        <v>1101.03</v>
      </c>
      <c r="F81" s="3">
        <v>-585.63</v>
      </c>
    </row>
    <row r="82" spans="1:6" x14ac:dyDescent="0.25">
      <c r="A82" s="5" t="s">
        <v>98</v>
      </c>
      <c r="B82" s="5" t="str">
        <f t="shared" si="2"/>
        <v>2021</v>
      </c>
      <c r="C82" s="5" t="str">
        <f t="shared" si="3"/>
        <v>Sep</v>
      </c>
      <c r="D82" s="2">
        <v>1526.03</v>
      </c>
      <c r="E82" s="2">
        <v>1034.46</v>
      </c>
      <c r="F82" s="3">
        <v>-491.58</v>
      </c>
    </row>
    <row r="83" spans="1:6" x14ac:dyDescent="0.25">
      <c r="A83" s="5" t="s">
        <v>99</v>
      </c>
      <c r="B83" s="5" t="str">
        <f t="shared" si="2"/>
        <v>2021</v>
      </c>
      <c r="C83" s="5" t="str">
        <f t="shared" si="3"/>
        <v>Oct</v>
      </c>
      <c r="D83" s="2">
        <v>1694.28</v>
      </c>
      <c r="E83" s="2">
        <v>1192.3399999999999</v>
      </c>
      <c r="F83" s="3">
        <v>-501.94</v>
      </c>
    </row>
    <row r="84" spans="1:6" x14ac:dyDescent="0.25">
      <c r="A84" s="5" t="s">
        <v>100</v>
      </c>
      <c r="B84" s="5" t="str">
        <f t="shared" si="2"/>
        <v>2021</v>
      </c>
      <c r="C84" s="5" t="str">
        <f t="shared" si="3"/>
        <v>Nov</v>
      </c>
      <c r="D84" s="2">
        <v>1764.63</v>
      </c>
      <c r="E84" s="2">
        <v>1211.47</v>
      </c>
      <c r="F84" s="3">
        <v>-553.16</v>
      </c>
    </row>
    <row r="85" spans="1:6" x14ac:dyDescent="0.25">
      <c r="A85" s="5" t="s">
        <v>101</v>
      </c>
      <c r="B85" s="5" t="str">
        <f t="shared" si="2"/>
        <v>2021</v>
      </c>
      <c r="C85" s="5" t="str">
        <f t="shared" si="3"/>
        <v>Dec</v>
      </c>
      <c r="D85" s="2">
        <v>2240.98</v>
      </c>
      <c r="E85" s="2">
        <v>1156.29</v>
      </c>
      <c r="F85" s="2">
        <v>-1084.69</v>
      </c>
    </row>
    <row r="86" spans="1:6" x14ac:dyDescent="0.25">
      <c r="A86" s="5" t="s">
        <v>102</v>
      </c>
      <c r="B86" s="5" t="str">
        <f t="shared" si="2"/>
        <v>2022</v>
      </c>
      <c r="C86" s="5" t="str">
        <f t="shared" si="3"/>
        <v>Jan</v>
      </c>
      <c r="D86" s="2">
        <v>1959.38</v>
      </c>
      <c r="E86" s="2">
        <v>1102.5999999999999</v>
      </c>
      <c r="F86" s="3">
        <v>-856.78</v>
      </c>
    </row>
    <row r="87" spans="1:6" x14ac:dyDescent="0.25">
      <c r="A87" s="5" t="s">
        <v>103</v>
      </c>
      <c r="B87" s="5" t="str">
        <f t="shared" si="2"/>
        <v>2022</v>
      </c>
      <c r="C87" s="5" t="str">
        <f t="shared" si="3"/>
        <v>Feb</v>
      </c>
      <c r="D87" s="2">
        <v>1872.95</v>
      </c>
      <c r="E87" s="2">
        <v>1093.3399999999999</v>
      </c>
      <c r="F87" s="3">
        <v>-779.61</v>
      </c>
    </row>
    <row r="88" spans="1:6" x14ac:dyDescent="0.25">
      <c r="A88" s="5" t="s">
        <v>104</v>
      </c>
      <c r="B88" s="5" t="str">
        <f t="shared" si="2"/>
        <v>2022</v>
      </c>
      <c r="C88" s="5" t="str">
        <f t="shared" si="3"/>
        <v>Mar</v>
      </c>
      <c r="D88" s="2">
        <v>1818.91</v>
      </c>
      <c r="E88" s="2">
        <v>1058.23</v>
      </c>
      <c r="F88" s="3">
        <v>-760.68</v>
      </c>
    </row>
    <row r="89" spans="1:6" x14ac:dyDescent="0.25">
      <c r="A89" s="5" t="s">
        <v>105</v>
      </c>
      <c r="B89" s="5" t="str">
        <f t="shared" si="2"/>
        <v>2022</v>
      </c>
      <c r="C89" s="5" t="str">
        <f t="shared" si="3"/>
        <v>Apr</v>
      </c>
      <c r="D89" s="2">
        <v>1698.96</v>
      </c>
      <c r="E89" s="3">
        <v>970.91</v>
      </c>
      <c r="F89" s="3">
        <v>-728.06</v>
      </c>
    </row>
    <row r="90" spans="1:6" x14ac:dyDescent="0.25">
      <c r="A90" s="5" t="s">
        <v>106</v>
      </c>
      <c r="B90" s="5" t="str">
        <f t="shared" si="2"/>
        <v>2022</v>
      </c>
      <c r="C90" s="5" t="str">
        <f t="shared" si="3"/>
        <v>May</v>
      </c>
      <c r="D90" s="2">
        <v>1451.46</v>
      </c>
      <c r="E90" s="2">
        <v>1048.3</v>
      </c>
      <c r="F90" s="3">
        <v>-403.16</v>
      </c>
    </row>
    <row r="91" spans="1:6" x14ac:dyDescent="0.25">
      <c r="A91" s="5" t="s">
        <v>107</v>
      </c>
      <c r="B91" s="5" t="str">
        <f t="shared" si="2"/>
        <v>2022</v>
      </c>
      <c r="C91" s="5" t="str">
        <f t="shared" si="3"/>
        <v>Jun</v>
      </c>
      <c r="D91" s="2">
        <v>1226.48</v>
      </c>
      <c r="E91" s="2">
        <v>1248.77</v>
      </c>
      <c r="F91" s="3">
        <v>22.3</v>
      </c>
    </row>
    <row r="92" spans="1:6" x14ac:dyDescent="0.25">
      <c r="A92" s="5" t="s">
        <v>108</v>
      </c>
      <c r="B92" s="5" t="str">
        <f t="shared" si="2"/>
        <v>2022</v>
      </c>
      <c r="C92" s="5" t="str">
        <f t="shared" si="3"/>
        <v>Jul</v>
      </c>
      <c r="D92" s="2">
        <v>1286.8399999999999</v>
      </c>
      <c r="E92" s="2">
        <v>1164.5999999999999</v>
      </c>
      <c r="F92" s="3">
        <v>-122.25</v>
      </c>
    </row>
    <row r="93" spans="1:6" x14ac:dyDescent="0.25">
      <c r="A93" s="5" t="s">
        <v>109</v>
      </c>
      <c r="B93" s="5" t="str">
        <f t="shared" si="2"/>
        <v>2022</v>
      </c>
      <c r="C93" s="5" t="str">
        <f t="shared" si="3"/>
        <v>Aug</v>
      </c>
      <c r="D93" s="2">
        <v>1485.87</v>
      </c>
      <c r="E93" s="2">
        <v>1225.3699999999999</v>
      </c>
      <c r="F93" s="3">
        <v>-260.5</v>
      </c>
    </row>
    <row r="94" spans="1:6" x14ac:dyDescent="0.25">
      <c r="A94" s="5" t="s">
        <v>110</v>
      </c>
      <c r="B94" s="5" t="str">
        <f t="shared" si="2"/>
        <v>2022</v>
      </c>
      <c r="C94" s="5" t="str">
        <f t="shared" si="3"/>
        <v>Sep</v>
      </c>
      <c r="D94" s="2">
        <v>1284.3599999999999</v>
      </c>
      <c r="E94" s="2">
        <v>1079.83</v>
      </c>
      <c r="F94" s="3">
        <v>-204.53</v>
      </c>
    </row>
    <row r="95" spans="1:6" x14ac:dyDescent="0.25">
      <c r="A95" s="5" t="s">
        <v>111</v>
      </c>
      <c r="B95" s="5" t="str">
        <f t="shared" si="2"/>
        <v>2022</v>
      </c>
      <c r="C95" s="5" t="str">
        <f t="shared" si="3"/>
        <v>Oct</v>
      </c>
      <c r="D95" s="2">
        <v>1335.67</v>
      </c>
      <c r="E95" s="2">
        <v>1051.56</v>
      </c>
      <c r="F95" s="3">
        <v>-284.10000000000002</v>
      </c>
    </row>
    <row r="96" spans="1:6" x14ac:dyDescent="0.25">
      <c r="A96" s="5" t="s">
        <v>112</v>
      </c>
      <c r="B96" s="5" t="str">
        <f t="shared" si="2"/>
        <v>2022</v>
      </c>
      <c r="C96" s="5" t="str">
        <f t="shared" si="3"/>
        <v>Nov</v>
      </c>
      <c r="D96" s="2">
        <v>1444.56</v>
      </c>
      <c r="E96" s="3">
        <v>995.33</v>
      </c>
      <c r="F96" s="3">
        <v>-449.23</v>
      </c>
    </row>
    <row r="97" spans="1:6" x14ac:dyDescent="0.25">
      <c r="A97" s="5" t="s">
        <v>113</v>
      </c>
      <c r="B97" s="5" t="str">
        <f t="shared" si="2"/>
        <v>2022</v>
      </c>
      <c r="C97" s="5" t="str">
        <f t="shared" si="3"/>
        <v>Dec</v>
      </c>
      <c r="D97" s="2">
        <v>1425.56</v>
      </c>
      <c r="E97" s="2">
        <v>1067.5899999999999</v>
      </c>
      <c r="F97" s="3">
        <v>-357.97</v>
      </c>
    </row>
    <row r="98" spans="1:6" x14ac:dyDescent="0.25">
      <c r="A98" s="5" t="s">
        <v>114</v>
      </c>
      <c r="B98" s="5" t="str">
        <f t="shared" si="2"/>
        <v>2023</v>
      </c>
      <c r="C98" s="5" t="str">
        <f t="shared" si="3"/>
        <v>Jan</v>
      </c>
      <c r="D98" s="3">
        <v>1423.4</v>
      </c>
      <c r="E98" s="3">
        <v>978.2</v>
      </c>
      <c r="F98" s="3">
        <v>-445.2</v>
      </c>
    </row>
    <row r="99" spans="1:6" x14ac:dyDescent="0.25">
      <c r="A99" s="5" t="s">
        <v>115</v>
      </c>
      <c r="B99" s="5" t="str">
        <f t="shared" si="2"/>
        <v>2023</v>
      </c>
      <c r="C99" s="5" t="str">
        <f t="shared" si="3"/>
        <v>Feb</v>
      </c>
      <c r="D99" s="3">
        <v>1021</v>
      </c>
      <c r="E99" s="3">
        <v>982</v>
      </c>
      <c r="F99" s="3">
        <v>-39.1</v>
      </c>
    </row>
    <row r="100" spans="1:6" x14ac:dyDescent="0.25">
      <c r="A100" s="5" t="s">
        <v>116</v>
      </c>
      <c r="B100" s="5" t="str">
        <f t="shared" si="2"/>
        <v>2023</v>
      </c>
      <c r="C100" s="5" t="str">
        <f t="shared" si="3"/>
        <v>Mar</v>
      </c>
      <c r="D100" s="3">
        <v>1449.5</v>
      </c>
      <c r="E100" s="3">
        <v>1037.5</v>
      </c>
      <c r="F100" s="3">
        <v>-412.1</v>
      </c>
    </row>
    <row r="101" spans="1:6" x14ac:dyDescent="0.25">
      <c r="A101" s="5" t="s">
        <v>117</v>
      </c>
      <c r="B101" s="5" t="str">
        <f t="shared" si="2"/>
        <v>2023</v>
      </c>
      <c r="C101" s="5" t="str">
        <f t="shared" si="3"/>
        <v>Apr</v>
      </c>
      <c r="D101" s="3">
        <v>1431.2</v>
      </c>
      <c r="E101" s="3">
        <v>848.6</v>
      </c>
      <c r="F101" s="3">
        <v>-582.6</v>
      </c>
    </row>
    <row r="102" spans="1:6" x14ac:dyDescent="0.25">
      <c r="A102" s="5" t="s">
        <v>118</v>
      </c>
      <c r="B102" s="5" t="str">
        <f t="shared" si="2"/>
        <v>2023</v>
      </c>
      <c r="C102" s="5" t="str">
        <f t="shared" si="3"/>
        <v>May</v>
      </c>
      <c r="D102" s="3">
        <v>1466.3</v>
      </c>
      <c r="E102" s="3">
        <v>1019.5</v>
      </c>
      <c r="F102" s="3">
        <v>-446.8</v>
      </c>
    </row>
    <row r="103" spans="1:6" x14ac:dyDescent="0.25">
      <c r="A103" s="5" t="s">
        <v>119</v>
      </c>
      <c r="B103" s="5" t="str">
        <f t="shared" si="2"/>
        <v>2023</v>
      </c>
      <c r="C103" s="5" t="str">
        <f t="shared" si="3"/>
        <v>Jun</v>
      </c>
      <c r="D103" s="3">
        <v>1369.1</v>
      </c>
      <c r="E103" s="3">
        <v>1005.3</v>
      </c>
      <c r="F103" s="3">
        <v>-363.7</v>
      </c>
    </row>
    <row r="104" spans="1:6" x14ac:dyDescent="0.25">
      <c r="A104" s="5" t="s">
        <v>120</v>
      </c>
      <c r="B104" s="5" t="str">
        <f t="shared" si="2"/>
        <v>2023</v>
      </c>
      <c r="C104" s="5" t="str">
        <f t="shared" si="3"/>
        <v>Jul</v>
      </c>
      <c r="D104" s="3">
        <v>1387.6</v>
      </c>
      <c r="E104" s="3">
        <v>1020.4</v>
      </c>
      <c r="F104" s="3">
        <v>-367.1</v>
      </c>
    </row>
    <row r="105" spans="1:6" x14ac:dyDescent="0.25">
      <c r="A105" s="5" t="s">
        <v>121</v>
      </c>
      <c r="B105" s="5" t="str">
        <f t="shared" si="2"/>
        <v>2023</v>
      </c>
      <c r="C105" s="5" t="str">
        <f t="shared" si="3"/>
        <v>Aug</v>
      </c>
      <c r="D105" s="3">
        <v>1426</v>
      </c>
      <c r="E105" s="3">
        <v>1118.5999999999999</v>
      </c>
      <c r="F105" s="3">
        <v>-307.39999999999998</v>
      </c>
    </row>
    <row r="106" spans="1:6" x14ac:dyDescent="0.25">
      <c r="A106" s="5" t="s">
        <v>122</v>
      </c>
      <c r="B106" s="5" t="str">
        <f t="shared" si="2"/>
        <v>2023</v>
      </c>
      <c r="C106" s="5" t="str">
        <f t="shared" si="3"/>
        <v>Sep</v>
      </c>
      <c r="D106" s="3">
        <v>1349.3</v>
      </c>
      <c r="E106" s="3">
        <v>971.7</v>
      </c>
      <c r="F106" s="3">
        <v>-377.5</v>
      </c>
    </row>
    <row r="107" spans="1:6" x14ac:dyDescent="0.25">
      <c r="A107" s="5" t="s">
        <v>123</v>
      </c>
      <c r="B107" s="5" t="str">
        <f t="shared" si="2"/>
        <v>2023</v>
      </c>
      <c r="C107" s="5" t="str">
        <f t="shared" si="3"/>
        <v>Oct</v>
      </c>
      <c r="D107" s="3">
        <v>1610.5</v>
      </c>
      <c r="E107" s="3">
        <v>928</v>
      </c>
      <c r="F107" s="3">
        <v>-682.5</v>
      </c>
    </row>
    <row r="108" spans="1:6" x14ac:dyDescent="0.25">
      <c r="A108" s="5" t="s">
        <v>124</v>
      </c>
      <c r="B108" s="5" t="str">
        <f t="shared" si="2"/>
        <v>2023</v>
      </c>
      <c r="C108" s="5" t="str">
        <f t="shared" si="3"/>
        <v>Nov</v>
      </c>
      <c r="D108" s="3">
        <v>1388.7</v>
      </c>
      <c r="E108" s="3">
        <v>999</v>
      </c>
      <c r="F108" s="3">
        <v>-389.7</v>
      </c>
    </row>
    <row r="109" spans="1:6" x14ac:dyDescent="0.25">
      <c r="A109" s="5" t="s">
        <v>125</v>
      </c>
      <c r="B109" s="5" t="str">
        <f t="shared" si="2"/>
        <v>2023</v>
      </c>
      <c r="C109" s="5" t="str">
        <f t="shared" si="3"/>
        <v>Dec</v>
      </c>
      <c r="D109" s="3">
        <v>1488.6</v>
      </c>
      <c r="E109" s="3">
        <v>1001.8</v>
      </c>
      <c r="F109" s="3">
        <v>-486.8</v>
      </c>
    </row>
    <row r="110" spans="1:6" x14ac:dyDescent="0.25">
      <c r="A110" s="5" t="s">
        <v>126</v>
      </c>
      <c r="B110" s="5" t="str">
        <f t="shared" si="2"/>
        <v>2024</v>
      </c>
      <c r="C110" s="5" t="str">
        <f t="shared" si="3"/>
        <v>Jan</v>
      </c>
      <c r="D110" s="3">
        <v>1511.8</v>
      </c>
      <c r="E110" s="3">
        <v>970.7</v>
      </c>
      <c r="F110" s="3">
        <v>-541.1</v>
      </c>
    </row>
    <row r="111" spans="1:6" x14ac:dyDescent="0.25">
      <c r="A111" s="5" t="s">
        <v>127</v>
      </c>
      <c r="B111" s="5" t="str">
        <f t="shared" si="2"/>
        <v>2024</v>
      </c>
      <c r="C111" s="5" t="str">
        <f t="shared" si="3"/>
        <v>Feb</v>
      </c>
      <c r="D111" s="3">
        <v>1378.4</v>
      </c>
      <c r="E111" s="3">
        <v>1059.3</v>
      </c>
      <c r="F111" s="3">
        <v>-319.10000000000002</v>
      </c>
    </row>
    <row r="112" spans="1:6" x14ac:dyDescent="0.25">
      <c r="A112" s="5" t="s">
        <v>128</v>
      </c>
      <c r="B112" s="5" t="str">
        <f t="shared" si="2"/>
        <v>2024</v>
      </c>
      <c r="C112" s="5" t="str">
        <f t="shared" si="3"/>
        <v>Mar</v>
      </c>
      <c r="D112" s="3">
        <v>1138.9000000000001</v>
      </c>
      <c r="E112" s="3">
        <v>1507.7</v>
      </c>
      <c r="F112" s="3">
        <v>-368.8</v>
      </c>
    </row>
    <row r="113" spans="1:6" x14ac:dyDescent="0.25">
      <c r="A113" s="5" t="s">
        <v>129</v>
      </c>
      <c r="B113" s="5" t="str">
        <f t="shared" si="2"/>
        <v>2024</v>
      </c>
      <c r="C113" s="5" t="str">
        <f t="shared" si="3"/>
        <v>Apr</v>
      </c>
      <c r="D113" s="3">
        <v>1435.2</v>
      </c>
      <c r="E113" s="3">
        <v>877.6</v>
      </c>
      <c r="F113" s="3">
        <v>-557.70000000000005</v>
      </c>
    </row>
    <row r="114" spans="1:6" x14ac:dyDescent="0.25">
      <c r="A114" s="5" t="s">
        <v>130</v>
      </c>
      <c r="B114" s="5" t="str">
        <f t="shared" si="2"/>
        <v>2024</v>
      </c>
      <c r="C114" s="5" t="str">
        <f t="shared" si="3"/>
        <v>May</v>
      </c>
      <c r="D114" s="3">
        <v>1446.6</v>
      </c>
      <c r="E114" s="3">
        <v>1011.3</v>
      </c>
      <c r="F114" s="3">
        <v>-393.3</v>
      </c>
    </row>
    <row r="115" spans="1:6" x14ac:dyDescent="0.25">
      <c r="A115" s="5" t="s">
        <v>131</v>
      </c>
      <c r="B115" s="5" t="str">
        <f t="shared" si="2"/>
        <v>2024</v>
      </c>
      <c r="C115" s="5" t="str">
        <f t="shared" si="3"/>
        <v>Jun</v>
      </c>
      <c r="D115" s="3">
        <v>1446.6</v>
      </c>
      <c r="E115" s="3">
        <v>1077</v>
      </c>
      <c r="F115" s="3">
        <v>-369.6</v>
      </c>
    </row>
    <row r="116" spans="1:6" x14ac:dyDescent="0.25">
      <c r="A116" s="5" t="s">
        <v>132</v>
      </c>
      <c r="B116" s="5" t="str">
        <f t="shared" si="2"/>
        <v>2024</v>
      </c>
      <c r="C116" s="5" t="str">
        <f t="shared" si="3"/>
        <v>Jul</v>
      </c>
      <c r="D116" s="3">
        <v>1734.1</v>
      </c>
      <c r="E116" s="3">
        <v>1130.3</v>
      </c>
      <c r="F116" s="3">
        <v>-603.79999999999995</v>
      </c>
    </row>
    <row r="117" spans="1:6" x14ac:dyDescent="0.25">
      <c r="A117" s="5" t="s">
        <v>133</v>
      </c>
      <c r="B117" s="5" t="str">
        <f t="shared" si="2"/>
        <v>2024</v>
      </c>
      <c r="C117" s="5" t="str">
        <f t="shared" si="3"/>
        <v>Aug</v>
      </c>
      <c r="D117" s="3">
        <v>1654</v>
      </c>
      <c r="E117" s="3">
        <v>1224.5</v>
      </c>
      <c r="F117" s="3">
        <v>-429.6</v>
      </c>
    </row>
    <row r="118" spans="1:6" x14ac:dyDescent="0.25">
      <c r="A118" s="5" t="s">
        <v>134</v>
      </c>
      <c r="B118" s="5" t="str">
        <f t="shared" si="2"/>
        <v>2024</v>
      </c>
      <c r="C118" s="5" t="str">
        <f t="shared" si="3"/>
        <v>Sep</v>
      </c>
      <c r="D118" s="3">
        <v>1645.7</v>
      </c>
      <c r="E118" s="3">
        <v>1011.7</v>
      </c>
      <c r="F118" s="3">
        <v>-634</v>
      </c>
    </row>
    <row r="119" spans="1:6" x14ac:dyDescent="0.25">
      <c r="A119" s="5" t="s">
        <v>135</v>
      </c>
      <c r="B119" s="5" t="str">
        <f t="shared" si="2"/>
        <v>2024</v>
      </c>
      <c r="C119" s="5" t="str">
        <f t="shared" si="3"/>
        <v>Oct</v>
      </c>
      <c r="D119" s="3">
        <v>1702.4</v>
      </c>
      <c r="E119" s="3">
        <v>1158</v>
      </c>
      <c r="F119" s="3">
        <v>-544.4</v>
      </c>
    </row>
    <row r="120" spans="1:6" x14ac:dyDescent="0.25">
      <c r="A120" s="5" t="s">
        <v>136</v>
      </c>
      <c r="B120" s="5" t="str">
        <f t="shared" si="2"/>
        <v>2024</v>
      </c>
      <c r="C120" s="5" t="str">
        <f t="shared" si="3"/>
        <v>Nov</v>
      </c>
      <c r="D120" s="3">
        <v>1496.3</v>
      </c>
      <c r="E120" s="3">
        <v>994.1</v>
      </c>
      <c r="F120" s="3">
        <v>-502.2</v>
      </c>
    </row>
    <row r="121" spans="1:6" x14ac:dyDescent="0.25">
      <c r="A121" s="5" t="s">
        <v>137</v>
      </c>
      <c r="B121" s="5" t="str">
        <f t="shared" si="2"/>
        <v>2024</v>
      </c>
      <c r="C121" s="5" t="str">
        <f t="shared" si="3"/>
        <v>Dec</v>
      </c>
      <c r="D121" s="3">
        <v>1924.5</v>
      </c>
      <c r="E121" s="3">
        <v>1101.8</v>
      </c>
      <c r="F121" s="3">
        <v>-822.7</v>
      </c>
    </row>
    <row r="122" spans="1:6" x14ac:dyDescent="0.25">
      <c r="A122" s="5" t="s">
        <v>138</v>
      </c>
      <c r="B122" s="5" t="str">
        <f t="shared" si="2"/>
        <v>2025</v>
      </c>
      <c r="C122" s="5" t="str">
        <f t="shared" si="3"/>
        <v>Jan</v>
      </c>
      <c r="D122" s="3">
        <v>1785.5</v>
      </c>
      <c r="E122" s="3">
        <v>1052.8</v>
      </c>
      <c r="F122" s="3">
        <v>-732.7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7A8A-80C4-4796-B9A8-9DAD90A2FE6B}">
  <dimension ref="A1:E122"/>
  <sheetViews>
    <sheetView topLeftCell="A108" workbookViewId="0">
      <selection activeCell="D1" sqref="D1:E122"/>
    </sheetView>
  </sheetViews>
  <sheetFormatPr defaultRowHeight="15" x14ac:dyDescent="0.25"/>
  <cols>
    <col min="4" max="4" width="14.140625" customWidth="1"/>
  </cols>
  <sheetData>
    <row r="1" spans="1:5" ht="60" x14ac:dyDescent="0.25">
      <c r="A1" s="6" t="s">
        <v>17</v>
      </c>
      <c r="B1" s="6" t="s">
        <v>2</v>
      </c>
      <c r="C1" s="6" t="s">
        <v>3</v>
      </c>
      <c r="D1" s="7" t="s">
        <v>139</v>
      </c>
      <c r="E1" s="7" t="s">
        <v>140</v>
      </c>
    </row>
    <row r="2" spans="1:5" x14ac:dyDescent="0.25">
      <c r="A2" s="5" t="s">
        <v>18</v>
      </c>
      <c r="B2" s="5" t="str">
        <f>LEFT(A2,4)</f>
        <v>2015</v>
      </c>
      <c r="C2" s="5" t="str">
        <f>RIGHT(A2,3)</f>
        <v>Jan</v>
      </c>
      <c r="D2" s="1">
        <v>156246</v>
      </c>
      <c r="E2" s="3">
        <v>248.7</v>
      </c>
    </row>
    <row r="3" spans="1:5" x14ac:dyDescent="0.25">
      <c r="A3" s="5" t="s">
        <v>19</v>
      </c>
      <c r="B3" s="5" t="str">
        <f t="shared" ref="B3:B66" si="0">LEFT(A3,4)</f>
        <v>2015</v>
      </c>
      <c r="C3" s="5" t="str">
        <f t="shared" ref="C3:C66" si="1">RIGHT(A3,3)</f>
        <v>Feb</v>
      </c>
      <c r="D3" s="1">
        <v>165541</v>
      </c>
      <c r="E3" s="3">
        <v>263.5</v>
      </c>
    </row>
    <row r="4" spans="1:5" ht="30" x14ac:dyDescent="0.25">
      <c r="A4" s="5" t="s">
        <v>20</v>
      </c>
      <c r="B4" s="5" t="str">
        <f t="shared" si="0"/>
        <v>2015</v>
      </c>
      <c r="C4" s="5" t="str">
        <f t="shared" si="1"/>
        <v>Mar</v>
      </c>
      <c r="D4" s="1">
        <v>157051</v>
      </c>
      <c r="E4" s="3">
        <v>250</v>
      </c>
    </row>
    <row r="5" spans="1:5" x14ac:dyDescent="0.25">
      <c r="A5" s="5" t="s">
        <v>21</v>
      </c>
      <c r="B5" s="5" t="str">
        <f t="shared" si="0"/>
        <v>2015</v>
      </c>
      <c r="C5" s="5" t="str">
        <f t="shared" si="1"/>
        <v>Apr</v>
      </c>
      <c r="D5" s="1">
        <v>122217</v>
      </c>
      <c r="E5" s="3">
        <v>194.6</v>
      </c>
    </row>
    <row r="6" spans="1:5" ht="30" x14ac:dyDescent="0.25">
      <c r="A6" s="5" t="s">
        <v>22</v>
      </c>
      <c r="B6" s="5" t="str">
        <f t="shared" si="0"/>
        <v>2015</v>
      </c>
      <c r="C6" s="5" t="str">
        <f t="shared" si="1"/>
        <v>May</v>
      </c>
      <c r="D6" s="1">
        <v>113529</v>
      </c>
      <c r="E6" s="3">
        <v>180.7</v>
      </c>
    </row>
    <row r="7" spans="1:5" x14ac:dyDescent="0.25">
      <c r="A7" s="5" t="s">
        <v>23</v>
      </c>
      <c r="B7" s="5" t="str">
        <f t="shared" si="0"/>
        <v>2015</v>
      </c>
      <c r="C7" s="5" t="str">
        <f t="shared" si="1"/>
        <v>Jun</v>
      </c>
      <c r="D7" s="1">
        <v>115467</v>
      </c>
      <c r="E7" s="3">
        <v>183.8</v>
      </c>
    </row>
    <row r="8" spans="1:5" x14ac:dyDescent="0.25">
      <c r="A8" s="5" t="s">
        <v>24</v>
      </c>
      <c r="B8" s="5" t="str">
        <f t="shared" si="0"/>
        <v>2015</v>
      </c>
      <c r="C8" s="5" t="str">
        <f t="shared" si="1"/>
        <v>Jul</v>
      </c>
      <c r="D8" s="1">
        <v>175804</v>
      </c>
      <c r="E8" s="3">
        <v>279.89999999999998</v>
      </c>
    </row>
    <row r="9" spans="1:5" x14ac:dyDescent="0.25">
      <c r="A9" s="5" t="s">
        <v>25</v>
      </c>
      <c r="B9" s="5" t="str">
        <f t="shared" si="0"/>
        <v>2015</v>
      </c>
      <c r="C9" s="5" t="str">
        <f t="shared" si="1"/>
        <v>Aug</v>
      </c>
      <c r="D9" s="1">
        <v>166610</v>
      </c>
      <c r="E9" s="3">
        <v>265.2</v>
      </c>
    </row>
    <row r="10" spans="1:5" x14ac:dyDescent="0.25">
      <c r="A10" s="5" t="s">
        <v>26</v>
      </c>
      <c r="B10" s="5" t="str">
        <f t="shared" si="0"/>
        <v>2015</v>
      </c>
      <c r="C10" s="5" t="str">
        <f t="shared" si="1"/>
        <v>Sep</v>
      </c>
      <c r="D10" s="1">
        <v>143374</v>
      </c>
      <c r="E10" s="3">
        <v>228.2</v>
      </c>
    </row>
    <row r="11" spans="1:5" x14ac:dyDescent="0.25">
      <c r="A11" s="5" t="s">
        <v>27</v>
      </c>
      <c r="B11" s="5" t="str">
        <f t="shared" si="0"/>
        <v>2015</v>
      </c>
      <c r="C11" s="5" t="str">
        <f t="shared" si="1"/>
        <v>Oct</v>
      </c>
      <c r="D11" s="1">
        <v>132280</v>
      </c>
      <c r="E11" s="3">
        <v>210.6</v>
      </c>
    </row>
    <row r="12" spans="1:5" ht="30" x14ac:dyDescent="0.25">
      <c r="A12" s="5" t="s">
        <v>28</v>
      </c>
      <c r="B12" s="5" t="str">
        <f t="shared" si="0"/>
        <v>2015</v>
      </c>
      <c r="C12" s="5" t="str">
        <f t="shared" si="1"/>
        <v>Nov</v>
      </c>
      <c r="D12" s="1">
        <v>144147</v>
      </c>
      <c r="E12" s="3">
        <v>229.5</v>
      </c>
    </row>
    <row r="13" spans="1:5" x14ac:dyDescent="0.25">
      <c r="A13" s="5" t="s">
        <v>29</v>
      </c>
      <c r="B13" s="5" t="str">
        <f t="shared" si="0"/>
        <v>2015</v>
      </c>
      <c r="C13" s="5" t="str">
        <f t="shared" si="1"/>
        <v>Dec</v>
      </c>
      <c r="D13" s="1">
        <v>206114</v>
      </c>
      <c r="E13" s="3">
        <v>341.6</v>
      </c>
    </row>
    <row r="14" spans="1:5" x14ac:dyDescent="0.25">
      <c r="A14" s="5" t="s">
        <v>30</v>
      </c>
      <c r="B14" s="5" t="str">
        <f t="shared" si="0"/>
        <v>2016</v>
      </c>
      <c r="C14" s="5" t="str">
        <f t="shared" si="1"/>
        <v>Jan</v>
      </c>
      <c r="D14" s="1">
        <v>194280</v>
      </c>
      <c r="E14" s="3">
        <v>333.3</v>
      </c>
    </row>
    <row r="15" spans="1:5" x14ac:dyDescent="0.25">
      <c r="A15" s="5" t="s">
        <v>31</v>
      </c>
      <c r="B15" s="5" t="str">
        <f t="shared" si="0"/>
        <v>2016</v>
      </c>
      <c r="C15" s="5" t="str">
        <f t="shared" si="1"/>
        <v>Feb</v>
      </c>
      <c r="D15" s="1">
        <v>197697</v>
      </c>
      <c r="E15" s="3">
        <v>339.2</v>
      </c>
    </row>
    <row r="16" spans="1:5" ht="30" x14ac:dyDescent="0.25">
      <c r="A16" s="5" t="s">
        <v>32</v>
      </c>
      <c r="B16" s="5" t="str">
        <f t="shared" si="0"/>
        <v>2016</v>
      </c>
      <c r="C16" s="5" t="str">
        <f t="shared" si="1"/>
        <v>Mar</v>
      </c>
      <c r="D16" s="1">
        <v>192841</v>
      </c>
      <c r="E16" s="3">
        <v>330.8</v>
      </c>
    </row>
    <row r="17" spans="1:5" x14ac:dyDescent="0.25">
      <c r="A17" s="5" t="s">
        <v>33</v>
      </c>
      <c r="B17" s="5" t="str">
        <f t="shared" si="0"/>
        <v>2016</v>
      </c>
      <c r="C17" s="5" t="str">
        <f t="shared" si="1"/>
        <v>Apr</v>
      </c>
      <c r="D17" s="1">
        <v>136367</v>
      </c>
      <c r="E17" s="3">
        <v>234</v>
      </c>
    </row>
    <row r="18" spans="1:5" ht="30" x14ac:dyDescent="0.25">
      <c r="A18" s="5" t="s">
        <v>34</v>
      </c>
      <c r="B18" s="5" t="str">
        <f t="shared" si="0"/>
        <v>2016</v>
      </c>
      <c r="C18" s="5" t="str">
        <f t="shared" si="1"/>
        <v>May</v>
      </c>
      <c r="D18" s="1">
        <v>125044</v>
      </c>
      <c r="E18" s="3">
        <v>214.5</v>
      </c>
    </row>
    <row r="19" spans="1:5" x14ac:dyDescent="0.25">
      <c r="A19" s="5" t="s">
        <v>35</v>
      </c>
      <c r="B19" s="5" t="str">
        <f t="shared" si="0"/>
        <v>2016</v>
      </c>
      <c r="C19" s="5" t="str">
        <f t="shared" si="1"/>
        <v>Jun</v>
      </c>
      <c r="D19" s="1">
        <v>118038</v>
      </c>
      <c r="E19" s="3">
        <v>202.5</v>
      </c>
    </row>
    <row r="20" spans="1:5" x14ac:dyDescent="0.25">
      <c r="A20" s="5" t="s">
        <v>36</v>
      </c>
      <c r="B20" s="5" t="str">
        <f t="shared" si="0"/>
        <v>2016</v>
      </c>
      <c r="C20" s="5" t="str">
        <f t="shared" si="1"/>
        <v>Jul</v>
      </c>
      <c r="D20" s="1">
        <v>209351</v>
      </c>
      <c r="E20" s="3">
        <v>359.2</v>
      </c>
    </row>
    <row r="21" spans="1:5" x14ac:dyDescent="0.25">
      <c r="A21" s="5" t="s">
        <v>37</v>
      </c>
      <c r="B21" s="5" t="str">
        <f t="shared" si="0"/>
        <v>2016</v>
      </c>
      <c r="C21" s="5" t="str">
        <f t="shared" si="1"/>
        <v>Aug</v>
      </c>
      <c r="D21" s="1">
        <v>186288</v>
      </c>
      <c r="E21" s="3">
        <v>319.60000000000002</v>
      </c>
    </row>
    <row r="22" spans="1:5" x14ac:dyDescent="0.25">
      <c r="A22" s="5" t="s">
        <v>38</v>
      </c>
      <c r="B22" s="5" t="str">
        <f t="shared" si="0"/>
        <v>2016</v>
      </c>
      <c r="C22" s="5" t="str">
        <f t="shared" si="1"/>
        <v>Sep</v>
      </c>
      <c r="D22" s="1">
        <v>148499</v>
      </c>
      <c r="E22" s="3">
        <v>254.8</v>
      </c>
    </row>
    <row r="23" spans="1:5" x14ac:dyDescent="0.25">
      <c r="A23" s="5" t="s">
        <v>39</v>
      </c>
      <c r="B23" s="5" t="str">
        <f t="shared" si="0"/>
        <v>2016</v>
      </c>
      <c r="C23" s="5" t="str">
        <f t="shared" si="1"/>
        <v>Oct</v>
      </c>
      <c r="D23" s="1">
        <v>150419</v>
      </c>
      <c r="E23" s="3">
        <v>258.10000000000002</v>
      </c>
    </row>
    <row r="24" spans="1:5" ht="30" x14ac:dyDescent="0.25">
      <c r="A24" s="5" t="s">
        <v>40</v>
      </c>
      <c r="B24" s="5" t="str">
        <f t="shared" si="0"/>
        <v>2016</v>
      </c>
      <c r="C24" s="5" t="str">
        <f t="shared" si="1"/>
        <v>Nov</v>
      </c>
      <c r="D24" s="1">
        <v>167217</v>
      </c>
      <c r="E24" s="3">
        <v>286.89999999999998</v>
      </c>
    </row>
    <row r="25" spans="1:5" x14ac:dyDescent="0.25">
      <c r="A25" s="5" t="s">
        <v>41</v>
      </c>
      <c r="B25" s="5" t="str">
        <f t="shared" si="0"/>
        <v>2016</v>
      </c>
      <c r="C25" s="5" t="str">
        <f t="shared" si="1"/>
        <v>Dec</v>
      </c>
      <c r="D25" s="1">
        <v>224791</v>
      </c>
      <c r="E25" s="3">
        <v>385.7</v>
      </c>
    </row>
    <row r="26" spans="1:5" x14ac:dyDescent="0.25">
      <c r="A26" s="5" t="s">
        <v>42</v>
      </c>
      <c r="B26" s="5" t="str">
        <f t="shared" si="0"/>
        <v>2017</v>
      </c>
      <c r="C26" s="5" t="str">
        <f t="shared" si="1"/>
        <v>Jan</v>
      </c>
      <c r="D26" s="1">
        <v>219360</v>
      </c>
      <c r="E26" s="3">
        <v>406.81</v>
      </c>
    </row>
    <row r="27" spans="1:5" x14ac:dyDescent="0.25">
      <c r="A27" s="5" t="s">
        <v>43</v>
      </c>
      <c r="B27" s="5" t="str">
        <f t="shared" si="0"/>
        <v>2017</v>
      </c>
      <c r="C27" s="5" t="str">
        <f t="shared" si="1"/>
        <v>Feb</v>
      </c>
      <c r="D27" s="1">
        <v>197517</v>
      </c>
      <c r="E27" s="3">
        <v>366.3</v>
      </c>
    </row>
    <row r="28" spans="1:5" ht="30" x14ac:dyDescent="0.25">
      <c r="A28" s="5" t="s">
        <v>44</v>
      </c>
      <c r="B28" s="5" t="str">
        <f t="shared" si="0"/>
        <v>2017</v>
      </c>
      <c r="C28" s="5" t="str">
        <f t="shared" si="1"/>
        <v>Mar</v>
      </c>
      <c r="D28" s="1">
        <v>188076</v>
      </c>
      <c r="E28" s="3">
        <v>348.79</v>
      </c>
    </row>
    <row r="29" spans="1:5" x14ac:dyDescent="0.25">
      <c r="A29" s="5" t="s">
        <v>45</v>
      </c>
      <c r="B29" s="5" t="str">
        <f t="shared" si="0"/>
        <v>2017</v>
      </c>
      <c r="C29" s="5" t="str">
        <f t="shared" si="1"/>
        <v>Apr</v>
      </c>
      <c r="D29" s="1">
        <v>160249</v>
      </c>
      <c r="E29" s="3">
        <v>297.19</v>
      </c>
    </row>
    <row r="30" spans="1:5" ht="30" x14ac:dyDescent="0.25">
      <c r="A30" s="5" t="s">
        <v>46</v>
      </c>
      <c r="B30" s="5" t="str">
        <f t="shared" si="0"/>
        <v>2017</v>
      </c>
      <c r="C30" s="5" t="str">
        <f t="shared" si="1"/>
        <v>May</v>
      </c>
      <c r="D30" s="1">
        <v>121891</v>
      </c>
      <c r="E30" s="3">
        <v>226.05</v>
      </c>
    </row>
    <row r="31" spans="1:5" x14ac:dyDescent="0.25">
      <c r="A31" s="5" t="s">
        <v>47</v>
      </c>
      <c r="B31" s="5" t="str">
        <f t="shared" si="0"/>
        <v>2017</v>
      </c>
      <c r="C31" s="5" t="str">
        <f t="shared" si="1"/>
        <v>Jun</v>
      </c>
      <c r="D31" s="1">
        <v>123351</v>
      </c>
      <c r="E31" s="3">
        <v>228.76</v>
      </c>
    </row>
    <row r="32" spans="1:5" x14ac:dyDescent="0.25">
      <c r="A32" s="5" t="s">
        <v>48</v>
      </c>
      <c r="B32" s="5" t="str">
        <f t="shared" si="0"/>
        <v>2017</v>
      </c>
      <c r="C32" s="5" t="str">
        <f t="shared" si="1"/>
        <v>Jul</v>
      </c>
      <c r="D32" s="1">
        <v>205482</v>
      </c>
      <c r="E32" s="3">
        <v>381.07</v>
      </c>
    </row>
    <row r="33" spans="1:5" x14ac:dyDescent="0.25">
      <c r="A33" s="5" t="s">
        <v>49</v>
      </c>
      <c r="B33" s="5" t="str">
        <f t="shared" si="0"/>
        <v>2017</v>
      </c>
      <c r="C33" s="5" t="str">
        <f t="shared" si="1"/>
        <v>Aug</v>
      </c>
      <c r="D33" s="1">
        <v>190928</v>
      </c>
      <c r="E33" s="3">
        <v>354.08</v>
      </c>
    </row>
    <row r="34" spans="1:5" x14ac:dyDescent="0.25">
      <c r="A34" s="5" t="s">
        <v>50</v>
      </c>
      <c r="B34" s="5" t="str">
        <f t="shared" si="0"/>
        <v>2017</v>
      </c>
      <c r="C34" s="5" t="str">
        <f t="shared" si="1"/>
        <v>Sep</v>
      </c>
      <c r="D34" s="1">
        <v>145077</v>
      </c>
      <c r="E34" s="3">
        <v>269.05</v>
      </c>
    </row>
    <row r="35" spans="1:5" x14ac:dyDescent="0.25">
      <c r="A35" s="5" t="s">
        <v>51</v>
      </c>
      <c r="B35" s="5" t="str">
        <f t="shared" si="0"/>
        <v>2017</v>
      </c>
      <c r="C35" s="5" t="str">
        <f t="shared" si="1"/>
        <v>Oct</v>
      </c>
      <c r="D35" s="1">
        <v>152429</v>
      </c>
      <c r="E35" s="3">
        <v>282.68</v>
      </c>
    </row>
    <row r="36" spans="1:5" ht="30" x14ac:dyDescent="0.25">
      <c r="A36" s="5" t="s">
        <v>52</v>
      </c>
      <c r="B36" s="5" t="str">
        <f t="shared" si="0"/>
        <v>2017</v>
      </c>
      <c r="C36" s="5" t="str">
        <f t="shared" si="1"/>
        <v>Nov</v>
      </c>
      <c r="D36" s="1">
        <v>167511</v>
      </c>
      <c r="E36" s="3">
        <v>310.64999999999998</v>
      </c>
    </row>
    <row r="37" spans="1:5" x14ac:dyDescent="0.25">
      <c r="A37" s="5" t="s">
        <v>53</v>
      </c>
      <c r="B37" s="5" t="str">
        <f t="shared" si="0"/>
        <v>2017</v>
      </c>
      <c r="C37" s="5" t="str">
        <f t="shared" si="1"/>
        <v>Dec</v>
      </c>
      <c r="D37" s="1">
        <v>244536</v>
      </c>
      <c r="E37" s="3">
        <v>453.5</v>
      </c>
    </row>
    <row r="38" spans="1:5" x14ac:dyDescent="0.25">
      <c r="A38" s="5" t="s">
        <v>54</v>
      </c>
      <c r="B38" s="5" t="str">
        <f t="shared" si="0"/>
        <v>2018</v>
      </c>
      <c r="C38" s="5" t="str">
        <f t="shared" si="1"/>
        <v>Jan</v>
      </c>
      <c r="D38" s="1">
        <v>238924</v>
      </c>
      <c r="E38" s="3">
        <v>443.09</v>
      </c>
    </row>
    <row r="39" spans="1:5" x14ac:dyDescent="0.25">
      <c r="A39" s="5" t="s">
        <v>55</v>
      </c>
      <c r="B39" s="5" t="str">
        <f t="shared" si="0"/>
        <v>2018</v>
      </c>
      <c r="C39" s="5" t="str">
        <f t="shared" si="1"/>
        <v>Feb</v>
      </c>
      <c r="D39" s="1">
        <v>235618</v>
      </c>
      <c r="E39" s="3">
        <v>436.96</v>
      </c>
    </row>
    <row r="40" spans="1:5" ht="30" x14ac:dyDescent="0.25">
      <c r="A40" s="5" t="s">
        <v>56</v>
      </c>
      <c r="B40" s="5" t="str">
        <f t="shared" si="0"/>
        <v>2018</v>
      </c>
      <c r="C40" s="5" t="str">
        <f t="shared" si="1"/>
        <v>Mar</v>
      </c>
      <c r="D40" s="1">
        <v>233382</v>
      </c>
      <c r="E40" s="3">
        <v>438.07</v>
      </c>
    </row>
    <row r="41" spans="1:5" x14ac:dyDescent="0.25">
      <c r="A41" s="5" t="s">
        <v>57</v>
      </c>
      <c r="B41" s="5" t="str">
        <f t="shared" si="0"/>
        <v>2018</v>
      </c>
      <c r="C41" s="5" t="str">
        <f t="shared" si="1"/>
        <v>Apr</v>
      </c>
      <c r="D41" s="1">
        <v>180429</v>
      </c>
      <c r="E41" s="3">
        <v>338.67</v>
      </c>
    </row>
    <row r="42" spans="1:5" ht="30" x14ac:dyDescent="0.25">
      <c r="A42" s="5" t="s">
        <v>58</v>
      </c>
      <c r="B42" s="5" t="str">
        <f t="shared" si="0"/>
        <v>2018</v>
      </c>
      <c r="C42" s="5" t="str">
        <f t="shared" si="1"/>
        <v>May</v>
      </c>
      <c r="D42" s="1">
        <v>129466</v>
      </c>
      <c r="E42" s="3">
        <v>243.01</v>
      </c>
    </row>
    <row r="43" spans="1:5" x14ac:dyDescent="0.25">
      <c r="A43" s="5" t="s">
        <v>59</v>
      </c>
      <c r="B43" s="5" t="str">
        <f t="shared" si="0"/>
        <v>2018</v>
      </c>
      <c r="C43" s="5" t="str">
        <f t="shared" si="1"/>
        <v>Jun</v>
      </c>
      <c r="D43" s="1">
        <v>146828</v>
      </c>
      <c r="E43" s="3">
        <v>275.60000000000002</v>
      </c>
    </row>
    <row r="44" spans="1:5" x14ac:dyDescent="0.25">
      <c r="A44" s="5" t="s">
        <v>60</v>
      </c>
      <c r="B44" s="5" t="str">
        <f t="shared" si="0"/>
        <v>2018</v>
      </c>
      <c r="C44" s="5" t="str">
        <f t="shared" si="1"/>
        <v>Jul</v>
      </c>
      <c r="D44" s="1">
        <v>217829</v>
      </c>
      <c r="E44" s="3">
        <v>408.87</v>
      </c>
    </row>
    <row r="45" spans="1:5" x14ac:dyDescent="0.25">
      <c r="A45" s="5" t="s">
        <v>61</v>
      </c>
      <c r="B45" s="5" t="str">
        <f t="shared" si="0"/>
        <v>2018</v>
      </c>
      <c r="C45" s="5" t="str">
        <f t="shared" si="1"/>
        <v>Aug</v>
      </c>
      <c r="D45" s="1">
        <v>200359</v>
      </c>
      <c r="E45" s="3">
        <v>376.08</v>
      </c>
    </row>
    <row r="46" spans="1:5" x14ac:dyDescent="0.25">
      <c r="A46" s="5" t="s">
        <v>62</v>
      </c>
      <c r="B46" s="5" t="str">
        <f t="shared" si="0"/>
        <v>2018</v>
      </c>
      <c r="C46" s="5" t="str">
        <f t="shared" si="1"/>
        <v>Sep</v>
      </c>
      <c r="D46" s="1">
        <v>149087</v>
      </c>
      <c r="E46" s="3">
        <v>279.83999999999997</v>
      </c>
    </row>
    <row r="47" spans="1:5" x14ac:dyDescent="0.25">
      <c r="A47" s="5" t="s">
        <v>63</v>
      </c>
      <c r="B47" s="5" t="str">
        <f t="shared" si="0"/>
        <v>2018</v>
      </c>
      <c r="C47" s="5" t="str">
        <f t="shared" si="1"/>
        <v>Oct</v>
      </c>
      <c r="D47" s="1">
        <v>153123</v>
      </c>
      <c r="E47" s="3">
        <v>287.42</v>
      </c>
    </row>
    <row r="48" spans="1:5" ht="30" x14ac:dyDescent="0.25">
      <c r="A48" s="5" t="s">
        <v>64</v>
      </c>
      <c r="B48" s="5" t="str">
        <f t="shared" si="0"/>
        <v>2018</v>
      </c>
      <c r="C48" s="5" t="str">
        <f t="shared" si="1"/>
        <v>Nov</v>
      </c>
      <c r="D48" s="1">
        <v>195582</v>
      </c>
      <c r="E48" s="3">
        <v>367.12</v>
      </c>
    </row>
    <row r="49" spans="1:5" x14ac:dyDescent="0.25">
      <c r="A49" s="5" t="s">
        <v>65</v>
      </c>
      <c r="B49" s="5" t="str">
        <f t="shared" si="0"/>
        <v>2018</v>
      </c>
      <c r="C49" s="5" t="str">
        <f t="shared" si="1"/>
        <v>Dec</v>
      </c>
      <c r="D49" s="1">
        <v>253169</v>
      </c>
      <c r="E49" s="3">
        <v>475.21</v>
      </c>
    </row>
    <row r="50" spans="1:5" x14ac:dyDescent="0.25">
      <c r="A50" s="5" t="s">
        <v>66</v>
      </c>
      <c r="B50" s="5" t="str">
        <f t="shared" si="0"/>
        <v>2019</v>
      </c>
      <c r="C50" s="5" t="str">
        <f t="shared" si="1"/>
        <v>Jan</v>
      </c>
      <c r="D50" s="1">
        <v>244239</v>
      </c>
      <c r="E50" s="3">
        <v>460.34</v>
      </c>
    </row>
    <row r="51" spans="1:5" x14ac:dyDescent="0.25">
      <c r="A51" s="5" t="s">
        <v>67</v>
      </c>
      <c r="B51" s="5" t="str">
        <f t="shared" si="0"/>
        <v>2019</v>
      </c>
      <c r="C51" s="5" t="str">
        <f t="shared" si="1"/>
        <v>Feb</v>
      </c>
      <c r="D51" s="1">
        <v>252033</v>
      </c>
      <c r="E51" s="3">
        <v>475.03</v>
      </c>
    </row>
    <row r="52" spans="1:5" ht="30" x14ac:dyDescent="0.25">
      <c r="A52" s="5" t="s">
        <v>68</v>
      </c>
      <c r="B52" s="5" t="str">
        <f t="shared" si="0"/>
        <v>2019</v>
      </c>
      <c r="C52" s="5" t="str">
        <f t="shared" si="1"/>
        <v>Mar</v>
      </c>
      <c r="D52" s="1">
        <v>244328</v>
      </c>
      <c r="E52" s="3">
        <v>460.51</v>
      </c>
    </row>
    <row r="53" spans="1:5" x14ac:dyDescent="0.25">
      <c r="A53" s="5" t="s">
        <v>69</v>
      </c>
      <c r="B53" s="5" t="str">
        <f t="shared" si="0"/>
        <v>2019</v>
      </c>
      <c r="C53" s="5" t="str">
        <f t="shared" si="1"/>
        <v>Apr</v>
      </c>
      <c r="D53" s="1">
        <v>166975</v>
      </c>
      <c r="E53" s="3">
        <v>314.70999999999998</v>
      </c>
    </row>
    <row r="54" spans="1:5" ht="30" x14ac:dyDescent="0.25">
      <c r="A54" s="5" t="s">
        <v>70</v>
      </c>
      <c r="B54" s="5" t="str">
        <f t="shared" si="0"/>
        <v>2019</v>
      </c>
      <c r="C54" s="5" t="str">
        <f t="shared" si="1"/>
        <v>May</v>
      </c>
      <c r="D54" s="1">
        <v>37802</v>
      </c>
      <c r="E54" s="3">
        <v>71.25</v>
      </c>
    </row>
    <row r="55" spans="1:5" x14ac:dyDescent="0.25">
      <c r="A55" s="5" t="s">
        <v>71</v>
      </c>
      <c r="B55" s="5" t="str">
        <f t="shared" si="0"/>
        <v>2019</v>
      </c>
      <c r="C55" s="5" t="str">
        <f t="shared" si="1"/>
        <v>Jun</v>
      </c>
      <c r="D55" s="1">
        <v>63072</v>
      </c>
      <c r="E55" s="3">
        <v>118.88</v>
      </c>
    </row>
    <row r="56" spans="1:5" x14ac:dyDescent="0.25">
      <c r="A56" s="5" t="s">
        <v>72</v>
      </c>
      <c r="B56" s="5" t="str">
        <f t="shared" si="0"/>
        <v>2019</v>
      </c>
      <c r="C56" s="5" t="str">
        <f t="shared" si="1"/>
        <v>Jul</v>
      </c>
      <c r="D56" s="1">
        <v>115701</v>
      </c>
      <c r="E56" s="3">
        <v>218.07</v>
      </c>
    </row>
    <row r="57" spans="1:5" x14ac:dyDescent="0.25">
      <c r="A57" s="5" t="s">
        <v>73</v>
      </c>
      <c r="B57" s="5" t="str">
        <f t="shared" si="0"/>
        <v>2019</v>
      </c>
      <c r="C57" s="5" t="str">
        <f t="shared" si="1"/>
        <v>Aug</v>
      </c>
      <c r="D57" s="1">
        <v>143587</v>
      </c>
      <c r="E57" s="3">
        <v>270.63</v>
      </c>
    </row>
    <row r="58" spans="1:5" x14ac:dyDescent="0.25">
      <c r="A58" s="5" t="s">
        <v>74</v>
      </c>
      <c r="B58" s="5" t="str">
        <f t="shared" si="0"/>
        <v>2019</v>
      </c>
      <c r="C58" s="5" t="str">
        <f t="shared" si="1"/>
        <v>Sep</v>
      </c>
      <c r="D58" s="1">
        <v>108575</v>
      </c>
      <c r="E58" s="3">
        <v>204.64</v>
      </c>
    </row>
    <row r="59" spans="1:5" x14ac:dyDescent="0.25">
      <c r="A59" s="5" t="s">
        <v>75</v>
      </c>
      <c r="B59" s="5" t="str">
        <f t="shared" si="0"/>
        <v>2019</v>
      </c>
      <c r="C59" s="5" t="str">
        <f t="shared" si="1"/>
        <v>Oct</v>
      </c>
      <c r="D59" s="1">
        <v>118743</v>
      </c>
      <c r="E59" s="3">
        <v>223.81</v>
      </c>
    </row>
    <row r="60" spans="1:5" ht="30" x14ac:dyDescent="0.25">
      <c r="A60" s="5" t="s">
        <v>76</v>
      </c>
      <c r="B60" s="5" t="str">
        <f t="shared" si="0"/>
        <v>2019</v>
      </c>
      <c r="C60" s="5" t="str">
        <f t="shared" si="1"/>
        <v>Nov</v>
      </c>
      <c r="D60" s="1">
        <v>176984</v>
      </c>
      <c r="E60" s="3">
        <v>333.58</v>
      </c>
    </row>
    <row r="61" spans="1:5" x14ac:dyDescent="0.25">
      <c r="A61" s="5" t="s">
        <v>77</v>
      </c>
      <c r="B61" s="5" t="str">
        <f t="shared" si="0"/>
        <v>2019</v>
      </c>
      <c r="C61" s="5" t="str">
        <f t="shared" si="1"/>
        <v>Dec</v>
      </c>
      <c r="D61" s="1">
        <v>241663</v>
      </c>
      <c r="E61" s="3">
        <v>455.48</v>
      </c>
    </row>
    <row r="62" spans="1:5" x14ac:dyDescent="0.25">
      <c r="A62" s="5" t="s">
        <v>78</v>
      </c>
      <c r="B62" s="5" t="str">
        <f t="shared" si="0"/>
        <v>2020</v>
      </c>
      <c r="C62" s="5" t="str">
        <f t="shared" si="1"/>
        <v>Jan</v>
      </c>
      <c r="D62" s="1">
        <v>228434</v>
      </c>
      <c r="E62" s="3">
        <v>307.04000000000002</v>
      </c>
    </row>
    <row r="63" spans="1:5" x14ac:dyDescent="0.25">
      <c r="A63" s="5" t="s">
        <v>79</v>
      </c>
      <c r="B63" s="5" t="str">
        <f t="shared" si="0"/>
        <v>2020</v>
      </c>
      <c r="C63" s="5" t="str">
        <f t="shared" si="1"/>
        <v>Feb</v>
      </c>
      <c r="D63" s="1">
        <v>207507</v>
      </c>
      <c r="E63" s="3">
        <v>278.91000000000003</v>
      </c>
    </row>
    <row r="64" spans="1:5" ht="30" x14ac:dyDescent="0.25">
      <c r="A64" s="5" t="s">
        <v>80</v>
      </c>
      <c r="B64" s="5" t="str">
        <f t="shared" si="0"/>
        <v>2020</v>
      </c>
      <c r="C64" s="5" t="str">
        <f t="shared" si="1"/>
        <v>Mar</v>
      </c>
      <c r="D64" s="1">
        <v>71370</v>
      </c>
      <c r="E64" s="3">
        <v>95.93</v>
      </c>
    </row>
    <row r="65" spans="1:5" x14ac:dyDescent="0.25">
      <c r="A65" s="5" t="s">
        <v>81</v>
      </c>
      <c r="B65" s="5" t="str">
        <f t="shared" si="0"/>
        <v>2020</v>
      </c>
      <c r="C65" s="5" t="str">
        <f t="shared" si="1"/>
        <v>Apr</v>
      </c>
      <c r="D65" s="3">
        <v>0</v>
      </c>
      <c r="E65" s="3">
        <v>0</v>
      </c>
    </row>
    <row r="66" spans="1:5" ht="30" x14ac:dyDescent="0.25">
      <c r="A66" s="5" t="s">
        <v>82</v>
      </c>
      <c r="B66" s="5" t="str">
        <f t="shared" si="0"/>
        <v>2020</v>
      </c>
      <c r="C66" s="5" t="str">
        <f t="shared" si="1"/>
        <v>May</v>
      </c>
      <c r="D66" s="3">
        <v>0</v>
      </c>
      <c r="E66" s="3">
        <v>0</v>
      </c>
    </row>
    <row r="67" spans="1:5" x14ac:dyDescent="0.25">
      <c r="A67" s="5" t="s">
        <v>83</v>
      </c>
      <c r="B67" s="5" t="str">
        <f t="shared" ref="B67:B122" si="2">LEFT(A67,4)</f>
        <v>2020</v>
      </c>
      <c r="C67" s="5" t="str">
        <f t="shared" ref="C67:C122" si="3">RIGHT(A67,3)</f>
        <v>Jun</v>
      </c>
      <c r="D67" s="3">
        <v>0</v>
      </c>
      <c r="E67" s="3">
        <v>0</v>
      </c>
    </row>
    <row r="68" spans="1:5" x14ac:dyDescent="0.25">
      <c r="A68" s="5" t="s">
        <v>84</v>
      </c>
      <c r="B68" s="5" t="str">
        <f t="shared" si="2"/>
        <v>2020</v>
      </c>
      <c r="C68" s="5" t="str">
        <f t="shared" si="3"/>
        <v>Jul</v>
      </c>
      <c r="D68" s="3">
        <v>0</v>
      </c>
      <c r="E68" s="3">
        <v>0</v>
      </c>
    </row>
    <row r="69" spans="1:5" x14ac:dyDescent="0.25">
      <c r="A69" s="5" t="s">
        <v>85</v>
      </c>
      <c r="B69" s="5" t="str">
        <f t="shared" si="2"/>
        <v>2020</v>
      </c>
      <c r="C69" s="5" t="str">
        <f t="shared" si="3"/>
        <v>Aug</v>
      </c>
      <c r="D69" s="3">
        <v>0</v>
      </c>
      <c r="E69" s="3">
        <v>0</v>
      </c>
    </row>
    <row r="70" spans="1:5" x14ac:dyDescent="0.25">
      <c r="A70" s="5" t="s">
        <v>86</v>
      </c>
      <c r="B70" s="5" t="str">
        <f t="shared" si="2"/>
        <v>2020</v>
      </c>
      <c r="C70" s="5" t="str">
        <f t="shared" si="3"/>
        <v>Sep</v>
      </c>
      <c r="D70" s="3">
        <v>0</v>
      </c>
      <c r="E70" s="3">
        <v>0</v>
      </c>
    </row>
    <row r="71" spans="1:5" x14ac:dyDescent="0.25">
      <c r="A71" s="5" t="s">
        <v>87</v>
      </c>
      <c r="B71" s="5" t="str">
        <f t="shared" si="2"/>
        <v>2020</v>
      </c>
      <c r="C71" s="5" t="str">
        <f t="shared" si="3"/>
        <v>Oct</v>
      </c>
      <c r="D71" s="3">
        <v>0</v>
      </c>
      <c r="E71" s="3">
        <v>0</v>
      </c>
    </row>
    <row r="72" spans="1:5" ht="30" x14ac:dyDescent="0.25">
      <c r="A72" s="5" t="s">
        <v>88</v>
      </c>
      <c r="B72" s="5" t="str">
        <f t="shared" si="2"/>
        <v>2020</v>
      </c>
      <c r="C72" s="5" t="str">
        <f t="shared" si="3"/>
        <v>Nov</v>
      </c>
      <c r="D72" s="3">
        <v>0</v>
      </c>
      <c r="E72" s="3">
        <v>0</v>
      </c>
    </row>
    <row r="73" spans="1:5" x14ac:dyDescent="0.25">
      <c r="A73" s="5" t="s">
        <v>89</v>
      </c>
      <c r="B73" s="5" t="str">
        <f t="shared" si="2"/>
        <v>2020</v>
      </c>
      <c r="C73" s="5" t="str">
        <f t="shared" si="3"/>
        <v>Dec</v>
      </c>
      <c r="D73" s="3">
        <v>393</v>
      </c>
      <c r="E73" s="3">
        <v>0.53</v>
      </c>
    </row>
    <row r="74" spans="1:5" x14ac:dyDescent="0.25">
      <c r="A74" s="5" t="s">
        <v>90</v>
      </c>
      <c r="B74" s="5" t="str">
        <f t="shared" si="2"/>
        <v>2021</v>
      </c>
      <c r="C74" s="5" t="str">
        <f t="shared" si="3"/>
        <v>Jan</v>
      </c>
      <c r="D74" s="2">
        <v>1682</v>
      </c>
      <c r="E74" s="3">
        <v>5.48</v>
      </c>
    </row>
    <row r="75" spans="1:5" x14ac:dyDescent="0.25">
      <c r="A75" s="5" t="s">
        <v>91</v>
      </c>
      <c r="B75" s="5" t="str">
        <f t="shared" si="2"/>
        <v>2021</v>
      </c>
      <c r="C75" s="5" t="str">
        <f t="shared" si="3"/>
        <v>Feb</v>
      </c>
      <c r="D75" s="2">
        <v>3366</v>
      </c>
      <c r="E75" s="3">
        <v>10.97</v>
      </c>
    </row>
    <row r="76" spans="1:5" ht="30" x14ac:dyDescent="0.25">
      <c r="A76" s="5" t="s">
        <v>92</v>
      </c>
      <c r="B76" s="5" t="str">
        <f t="shared" si="2"/>
        <v>2021</v>
      </c>
      <c r="C76" s="5" t="str">
        <f t="shared" si="3"/>
        <v>Mar</v>
      </c>
      <c r="D76" s="2">
        <v>4581</v>
      </c>
      <c r="E76" s="3">
        <v>14.93</v>
      </c>
    </row>
    <row r="77" spans="1:5" x14ac:dyDescent="0.25">
      <c r="A77" s="5" t="s">
        <v>93</v>
      </c>
      <c r="B77" s="5" t="str">
        <f t="shared" si="2"/>
        <v>2021</v>
      </c>
      <c r="C77" s="5" t="str">
        <f t="shared" si="3"/>
        <v>Apr</v>
      </c>
      <c r="D77" s="2">
        <v>4168</v>
      </c>
      <c r="E77" s="3">
        <v>13.58</v>
      </c>
    </row>
    <row r="78" spans="1:5" ht="30" x14ac:dyDescent="0.25">
      <c r="A78" s="5" t="s">
        <v>94</v>
      </c>
      <c r="B78" s="5" t="str">
        <f t="shared" si="2"/>
        <v>2021</v>
      </c>
      <c r="C78" s="5" t="str">
        <f t="shared" si="3"/>
        <v>May</v>
      </c>
      <c r="D78" s="2">
        <v>1497</v>
      </c>
      <c r="E78" s="3">
        <v>4.88</v>
      </c>
    </row>
    <row r="79" spans="1:5" x14ac:dyDescent="0.25">
      <c r="A79" s="5" t="s">
        <v>95</v>
      </c>
      <c r="B79" s="5" t="str">
        <f t="shared" si="2"/>
        <v>2021</v>
      </c>
      <c r="C79" s="5" t="str">
        <f t="shared" si="3"/>
        <v>Jun</v>
      </c>
      <c r="D79" s="2">
        <v>1614</v>
      </c>
      <c r="E79" s="3">
        <v>5.26</v>
      </c>
    </row>
    <row r="80" spans="1:5" x14ac:dyDescent="0.25">
      <c r="A80" s="5" t="s">
        <v>96</v>
      </c>
      <c r="B80" s="5" t="str">
        <f t="shared" si="2"/>
        <v>2021</v>
      </c>
      <c r="C80" s="5" t="str">
        <f t="shared" si="3"/>
        <v>Jul</v>
      </c>
      <c r="D80" s="2">
        <v>2429</v>
      </c>
      <c r="E80" s="3">
        <v>7.92</v>
      </c>
    </row>
    <row r="81" spans="1:5" x14ac:dyDescent="0.25">
      <c r="A81" s="5" t="s">
        <v>97</v>
      </c>
      <c r="B81" s="5" t="str">
        <f t="shared" si="2"/>
        <v>2021</v>
      </c>
      <c r="C81" s="5" t="str">
        <f t="shared" si="3"/>
        <v>Aug</v>
      </c>
      <c r="D81" s="2">
        <v>5040</v>
      </c>
      <c r="E81" s="3">
        <v>16.420000000000002</v>
      </c>
    </row>
    <row r="82" spans="1:5" x14ac:dyDescent="0.25">
      <c r="A82" s="5" t="s">
        <v>98</v>
      </c>
      <c r="B82" s="5" t="str">
        <f t="shared" si="2"/>
        <v>2021</v>
      </c>
      <c r="C82" s="5" t="str">
        <f t="shared" si="3"/>
        <v>Sep</v>
      </c>
      <c r="D82" s="2">
        <v>13547</v>
      </c>
      <c r="E82" s="3">
        <v>44.14</v>
      </c>
    </row>
    <row r="83" spans="1:5" x14ac:dyDescent="0.25">
      <c r="A83" s="5" t="s">
        <v>99</v>
      </c>
      <c r="B83" s="5" t="str">
        <f t="shared" si="2"/>
        <v>2021</v>
      </c>
      <c r="C83" s="5" t="str">
        <f t="shared" si="3"/>
        <v>Oct</v>
      </c>
      <c r="D83" s="2">
        <v>22771</v>
      </c>
      <c r="E83" s="3">
        <v>74.2</v>
      </c>
    </row>
    <row r="84" spans="1:5" ht="30" x14ac:dyDescent="0.25">
      <c r="A84" s="5" t="s">
        <v>100</v>
      </c>
      <c r="B84" s="5" t="str">
        <f t="shared" si="2"/>
        <v>2021</v>
      </c>
      <c r="C84" s="5" t="str">
        <f t="shared" si="3"/>
        <v>Nov</v>
      </c>
      <c r="D84" s="2">
        <v>44294</v>
      </c>
      <c r="E84" s="3">
        <v>144.34</v>
      </c>
    </row>
    <row r="85" spans="1:5" x14ac:dyDescent="0.25">
      <c r="A85" s="5" t="s">
        <v>101</v>
      </c>
      <c r="B85" s="5" t="str">
        <f t="shared" si="2"/>
        <v>2021</v>
      </c>
      <c r="C85" s="5" t="str">
        <f t="shared" si="3"/>
        <v>Dec</v>
      </c>
      <c r="D85" s="2">
        <v>89506</v>
      </c>
      <c r="E85" s="3">
        <v>291.66000000000003</v>
      </c>
    </row>
    <row r="86" spans="1:5" x14ac:dyDescent="0.25">
      <c r="A86" s="5" t="s">
        <v>102</v>
      </c>
      <c r="B86" s="5" t="str">
        <f t="shared" si="2"/>
        <v>2022</v>
      </c>
      <c r="C86" s="5" t="str">
        <f t="shared" si="3"/>
        <v>Jan</v>
      </c>
      <c r="D86" s="2">
        <v>82327</v>
      </c>
      <c r="E86" s="3">
        <v>151.69999999999999</v>
      </c>
    </row>
    <row r="87" spans="1:5" x14ac:dyDescent="0.25">
      <c r="A87" s="5" t="s">
        <v>103</v>
      </c>
      <c r="B87" s="5" t="str">
        <f t="shared" si="2"/>
        <v>2022</v>
      </c>
      <c r="C87" s="5" t="str">
        <f t="shared" si="3"/>
        <v>Feb</v>
      </c>
      <c r="D87" s="2">
        <v>96507</v>
      </c>
      <c r="E87" s="3">
        <v>169.4</v>
      </c>
    </row>
    <row r="88" spans="1:5" ht="30" x14ac:dyDescent="0.25">
      <c r="A88" s="5" t="s">
        <v>104</v>
      </c>
      <c r="B88" s="5" t="str">
        <f t="shared" si="2"/>
        <v>2022</v>
      </c>
      <c r="C88" s="5" t="str">
        <f t="shared" si="3"/>
        <v>Mar</v>
      </c>
      <c r="D88" s="2">
        <v>106500</v>
      </c>
      <c r="E88" s="3">
        <v>161.19999999999999</v>
      </c>
    </row>
    <row r="89" spans="1:5" x14ac:dyDescent="0.25">
      <c r="A89" s="5" t="s">
        <v>105</v>
      </c>
      <c r="B89" s="5" t="str">
        <f t="shared" si="2"/>
        <v>2022</v>
      </c>
      <c r="C89" s="5" t="str">
        <f t="shared" si="3"/>
        <v>Apr</v>
      </c>
      <c r="D89" s="2">
        <v>62980</v>
      </c>
      <c r="E89" s="3">
        <v>108.7</v>
      </c>
    </row>
    <row r="90" spans="1:5" ht="30" x14ac:dyDescent="0.25">
      <c r="A90" s="5" t="s">
        <v>106</v>
      </c>
      <c r="B90" s="5" t="str">
        <f t="shared" si="2"/>
        <v>2022</v>
      </c>
      <c r="C90" s="5" t="str">
        <f t="shared" si="3"/>
        <v>May</v>
      </c>
      <c r="D90" s="2">
        <v>30207</v>
      </c>
      <c r="E90" s="3">
        <v>43.5</v>
      </c>
    </row>
    <row r="91" spans="1:5" x14ac:dyDescent="0.25">
      <c r="A91" s="5" t="s">
        <v>107</v>
      </c>
      <c r="B91" s="5" t="str">
        <f t="shared" si="2"/>
        <v>2022</v>
      </c>
      <c r="C91" s="5" t="str">
        <f t="shared" si="3"/>
        <v>Jun</v>
      </c>
      <c r="D91" s="2">
        <v>32856</v>
      </c>
      <c r="E91" s="3">
        <v>45</v>
      </c>
    </row>
    <row r="92" spans="1:5" x14ac:dyDescent="0.25">
      <c r="A92" s="5" t="s">
        <v>108</v>
      </c>
      <c r="B92" s="5" t="str">
        <f t="shared" si="2"/>
        <v>2022</v>
      </c>
      <c r="C92" s="5" t="str">
        <f t="shared" si="3"/>
        <v>Jul</v>
      </c>
      <c r="D92" s="2">
        <v>47293</v>
      </c>
      <c r="E92" s="3">
        <v>85</v>
      </c>
    </row>
    <row r="93" spans="1:5" x14ac:dyDescent="0.25">
      <c r="A93" s="5" t="s">
        <v>109</v>
      </c>
      <c r="B93" s="5" t="str">
        <f t="shared" si="2"/>
        <v>2022</v>
      </c>
      <c r="C93" s="5" t="str">
        <f t="shared" si="3"/>
        <v>Aug</v>
      </c>
      <c r="D93" s="2">
        <v>37760</v>
      </c>
      <c r="E93" s="3">
        <v>67.900000000000006</v>
      </c>
    </row>
    <row r="94" spans="1:5" x14ac:dyDescent="0.25">
      <c r="A94" s="5" t="s">
        <v>110</v>
      </c>
      <c r="B94" s="5" t="str">
        <f t="shared" si="2"/>
        <v>2022</v>
      </c>
      <c r="C94" s="5" t="str">
        <f t="shared" si="3"/>
        <v>Sep</v>
      </c>
      <c r="D94" s="2">
        <v>29802</v>
      </c>
      <c r="E94" s="3">
        <v>40.5</v>
      </c>
    </row>
    <row r="95" spans="1:5" x14ac:dyDescent="0.25">
      <c r="A95" s="5" t="s">
        <v>111</v>
      </c>
      <c r="B95" s="5" t="str">
        <f t="shared" si="2"/>
        <v>2022</v>
      </c>
      <c r="C95" s="5" t="str">
        <f t="shared" si="3"/>
        <v>Oct</v>
      </c>
      <c r="D95" s="2">
        <v>42026</v>
      </c>
      <c r="E95" s="3">
        <v>54.9</v>
      </c>
    </row>
    <row r="96" spans="1:5" ht="30" x14ac:dyDescent="0.25">
      <c r="A96" s="5" t="s">
        <v>112</v>
      </c>
      <c r="B96" s="5" t="str">
        <f t="shared" si="2"/>
        <v>2022</v>
      </c>
      <c r="C96" s="5" t="str">
        <f t="shared" si="3"/>
        <v>Nov</v>
      </c>
      <c r="D96" s="1">
        <v>59759</v>
      </c>
      <c r="E96" s="3">
        <v>81</v>
      </c>
    </row>
    <row r="97" spans="1:5" x14ac:dyDescent="0.25">
      <c r="A97" s="5" t="s">
        <v>113</v>
      </c>
      <c r="B97" s="5" t="str">
        <f t="shared" si="2"/>
        <v>2022</v>
      </c>
      <c r="C97" s="5" t="str">
        <f t="shared" si="3"/>
        <v>Dec</v>
      </c>
      <c r="D97" s="1">
        <v>91961</v>
      </c>
      <c r="E97" s="3">
        <v>127.4</v>
      </c>
    </row>
    <row r="98" spans="1:5" x14ac:dyDescent="0.25">
      <c r="A98" s="5" t="s">
        <v>114</v>
      </c>
      <c r="B98" s="5" t="str">
        <f t="shared" si="2"/>
        <v>2023</v>
      </c>
      <c r="C98" s="5" t="str">
        <f t="shared" si="3"/>
        <v>Jan</v>
      </c>
      <c r="D98" s="1">
        <v>102545</v>
      </c>
      <c r="E98" s="3">
        <v>153.5</v>
      </c>
    </row>
    <row r="99" spans="1:5" x14ac:dyDescent="0.25">
      <c r="A99" s="5" t="s">
        <v>115</v>
      </c>
      <c r="B99" s="5" t="str">
        <f t="shared" si="2"/>
        <v>2023</v>
      </c>
      <c r="C99" s="5" t="str">
        <f t="shared" si="3"/>
        <v>Feb</v>
      </c>
      <c r="D99" s="1">
        <v>107639</v>
      </c>
      <c r="E99" s="3">
        <v>161.6</v>
      </c>
    </row>
    <row r="100" spans="1:5" ht="30" x14ac:dyDescent="0.25">
      <c r="A100" s="5" t="s">
        <v>116</v>
      </c>
      <c r="B100" s="5" t="str">
        <f t="shared" si="2"/>
        <v>2023</v>
      </c>
      <c r="C100" s="5" t="str">
        <f t="shared" si="3"/>
        <v>Mar</v>
      </c>
      <c r="D100" s="1">
        <v>125495</v>
      </c>
      <c r="E100" s="3">
        <v>188.8</v>
      </c>
    </row>
    <row r="101" spans="1:5" x14ac:dyDescent="0.25">
      <c r="A101" s="5" t="s">
        <v>117</v>
      </c>
      <c r="B101" s="5" t="str">
        <f t="shared" si="2"/>
        <v>2023</v>
      </c>
      <c r="C101" s="5" t="str">
        <f t="shared" si="3"/>
        <v>Apr</v>
      </c>
      <c r="D101" s="1">
        <v>105498</v>
      </c>
      <c r="E101" s="3">
        <v>148.19999999999999</v>
      </c>
    </row>
    <row r="102" spans="1:5" ht="30" x14ac:dyDescent="0.25">
      <c r="A102" s="5" t="s">
        <v>118</v>
      </c>
      <c r="B102" s="5" t="str">
        <f t="shared" si="2"/>
        <v>2023</v>
      </c>
      <c r="C102" s="5" t="str">
        <f t="shared" si="3"/>
        <v>May</v>
      </c>
      <c r="D102" s="1">
        <v>83309</v>
      </c>
      <c r="E102" s="3">
        <v>100</v>
      </c>
    </row>
    <row r="103" spans="1:5" x14ac:dyDescent="0.25">
      <c r="A103" s="5" t="s">
        <v>119</v>
      </c>
      <c r="B103" s="5" t="str">
        <f t="shared" si="2"/>
        <v>2023</v>
      </c>
      <c r="C103" s="5" t="str">
        <f t="shared" si="3"/>
        <v>Jun</v>
      </c>
      <c r="D103" s="1">
        <v>100388</v>
      </c>
      <c r="E103" s="3">
        <v>122.9</v>
      </c>
    </row>
    <row r="104" spans="1:5" x14ac:dyDescent="0.25">
      <c r="A104" s="5" t="s">
        <v>120</v>
      </c>
      <c r="B104" s="5" t="str">
        <f t="shared" si="2"/>
        <v>2023</v>
      </c>
      <c r="C104" s="5" t="str">
        <f t="shared" si="3"/>
        <v>Jul</v>
      </c>
      <c r="D104" s="1">
        <v>143039</v>
      </c>
      <c r="E104" s="3">
        <v>219</v>
      </c>
    </row>
    <row r="105" spans="1:5" x14ac:dyDescent="0.25">
      <c r="A105" s="5" t="s">
        <v>121</v>
      </c>
      <c r="B105" s="5" t="str">
        <f t="shared" si="2"/>
        <v>2023</v>
      </c>
      <c r="C105" s="5" t="str">
        <f t="shared" si="3"/>
        <v>Aug</v>
      </c>
      <c r="D105" s="1">
        <v>136405</v>
      </c>
      <c r="E105" s="3">
        <v>210.5</v>
      </c>
    </row>
    <row r="106" spans="1:5" x14ac:dyDescent="0.25">
      <c r="A106" s="5" t="s">
        <v>122</v>
      </c>
      <c r="B106" s="5" t="str">
        <f t="shared" si="2"/>
        <v>2023</v>
      </c>
      <c r="C106" s="5" t="str">
        <f t="shared" si="3"/>
        <v>Sep</v>
      </c>
      <c r="D106" s="1">
        <v>111938</v>
      </c>
      <c r="E106" s="3">
        <v>152.19999999999999</v>
      </c>
    </row>
    <row r="107" spans="1:5" x14ac:dyDescent="0.25">
      <c r="A107" s="5" t="s">
        <v>123</v>
      </c>
      <c r="B107" s="5" t="str">
        <f t="shared" si="2"/>
        <v>2023</v>
      </c>
      <c r="C107" s="5" t="str">
        <f t="shared" si="3"/>
        <v>Oct</v>
      </c>
      <c r="D107" s="1">
        <v>109199</v>
      </c>
      <c r="E107" s="3">
        <v>136.69999999999999</v>
      </c>
    </row>
    <row r="108" spans="1:5" ht="30" x14ac:dyDescent="0.25">
      <c r="A108" s="5" t="s">
        <v>124</v>
      </c>
      <c r="B108" s="5" t="str">
        <f t="shared" si="2"/>
        <v>2023</v>
      </c>
      <c r="C108" s="5" t="str">
        <f t="shared" si="3"/>
        <v>Nov</v>
      </c>
      <c r="D108" s="1">
        <v>151496</v>
      </c>
      <c r="E108" s="3">
        <v>205.3</v>
      </c>
    </row>
    <row r="109" spans="1:5" x14ac:dyDescent="0.25">
      <c r="A109" s="5" t="s">
        <v>125</v>
      </c>
      <c r="B109" s="5" t="str">
        <f t="shared" si="2"/>
        <v>2023</v>
      </c>
      <c r="C109" s="5" t="str">
        <f t="shared" si="3"/>
        <v>Dec</v>
      </c>
      <c r="D109" s="1">
        <v>210352</v>
      </c>
      <c r="E109" s="3">
        <v>269.3</v>
      </c>
    </row>
    <row r="110" spans="1:5" x14ac:dyDescent="0.25">
      <c r="A110" s="5" t="s">
        <v>126</v>
      </c>
      <c r="B110" s="5" t="str">
        <f t="shared" si="2"/>
        <v>2024</v>
      </c>
      <c r="C110" s="5" t="str">
        <f t="shared" si="3"/>
        <v>Jan</v>
      </c>
      <c r="D110" s="1">
        <v>208253</v>
      </c>
      <c r="E110" s="3">
        <v>341.8</v>
      </c>
    </row>
    <row r="111" spans="1:5" x14ac:dyDescent="0.25">
      <c r="A111" s="5" t="s">
        <v>127</v>
      </c>
      <c r="B111" s="5" t="str">
        <f t="shared" si="2"/>
        <v>2024</v>
      </c>
      <c r="C111" s="5" t="str">
        <f t="shared" si="3"/>
        <v>Feb</v>
      </c>
      <c r="D111" s="1">
        <v>218350</v>
      </c>
      <c r="E111" s="3">
        <v>345.7</v>
      </c>
    </row>
    <row r="112" spans="1:5" ht="30" x14ac:dyDescent="0.25">
      <c r="A112" s="5" t="s">
        <v>128</v>
      </c>
      <c r="B112" s="5" t="str">
        <f t="shared" si="2"/>
        <v>2024</v>
      </c>
      <c r="C112" s="5" t="str">
        <f t="shared" si="3"/>
        <v>Mar</v>
      </c>
      <c r="D112" s="1">
        <v>209181</v>
      </c>
      <c r="E112" s="3">
        <v>338.4</v>
      </c>
    </row>
    <row r="113" spans="1:5" x14ac:dyDescent="0.25">
      <c r="A113" s="5" t="s">
        <v>129</v>
      </c>
      <c r="B113" s="5" t="str">
        <f t="shared" si="2"/>
        <v>2024</v>
      </c>
      <c r="C113" s="5" t="str">
        <f t="shared" si="3"/>
        <v>Apr</v>
      </c>
      <c r="D113" s="1">
        <v>148867</v>
      </c>
      <c r="E113" s="3">
        <v>225.7</v>
      </c>
    </row>
    <row r="114" spans="1:5" ht="30" x14ac:dyDescent="0.25">
      <c r="A114" s="5" t="s">
        <v>130</v>
      </c>
      <c r="B114" s="5" t="str">
        <f t="shared" si="2"/>
        <v>2024</v>
      </c>
      <c r="C114" s="5" t="str">
        <f t="shared" si="3"/>
        <v>May</v>
      </c>
      <c r="D114" s="1">
        <v>112128</v>
      </c>
      <c r="E114" s="3">
        <v>154</v>
      </c>
    </row>
    <row r="115" spans="1:5" x14ac:dyDescent="0.25">
      <c r="A115" s="5" t="s">
        <v>131</v>
      </c>
      <c r="B115" s="5" t="str">
        <f t="shared" si="2"/>
        <v>2024</v>
      </c>
      <c r="C115" s="5" t="str">
        <f t="shared" si="3"/>
        <v>Jun</v>
      </c>
      <c r="D115" s="1">
        <v>113470</v>
      </c>
      <c r="E115" s="3">
        <v>151.1</v>
      </c>
    </row>
    <row r="116" spans="1:5" x14ac:dyDescent="0.25">
      <c r="A116" s="5" t="s">
        <v>132</v>
      </c>
      <c r="B116" s="5" t="str">
        <f t="shared" si="2"/>
        <v>2024</v>
      </c>
      <c r="C116" s="5" t="str">
        <f t="shared" si="3"/>
        <v>Jul</v>
      </c>
      <c r="D116" s="1">
        <v>187810</v>
      </c>
      <c r="E116" s="3">
        <v>328.3</v>
      </c>
    </row>
    <row r="117" spans="1:5" x14ac:dyDescent="0.25">
      <c r="A117" s="5" t="s">
        <v>133</v>
      </c>
      <c r="B117" s="5" t="str">
        <f t="shared" si="2"/>
        <v>2024</v>
      </c>
      <c r="C117" s="5" t="str">
        <f t="shared" si="3"/>
        <v>Aug</v>
      </c>
      <c r="D117" s="1">
        <v>164609</v>
      </c>
      <c r="E117" s="3">
        <v>282.10000000000002</v>
      </c>
    </row>
    <row r="118" spans="1:5" x14ac:dyDescent="0.25">
      <c r="A118" s="5" t="s">
        <v>134</v>
      </c>
      <c r="B118" s="5" t="str">
        <f t="shared" si="2"/>
        <v>2024</v>
      </c>
      <c r="C118" s="5" t="str">
        <f t="shared" si="3"/>
        <v>Sep</v>
      </c>
      <c r="D118" s="1">
        <v>122140</v>
      </c>
      <c r="E118" s="3">
        <v>181</v>
      </c>
    </row>
    <row r="119" spans="1:5" x14ac:dyDescent="0.25">
      <c r="A119" s="5" t="s">
        <v>135</v>
      </c>
      <c r="B119" s="5" t="str">
        <f t="shared" si="2"/>
        <v>2024</v>
      </c>
      <c r="C119" s="5" t="str">
        <f t="shared" si="3"/>
        <v>Oct</v>
      </c>
      <c r="D119" s="1">
        <v>135907</v>
      </c>
      <c r="E119" s="3">
        <v>185.6</v>
      </c>
    </row>
    <row r="120" spans="1:5" ht="30" x14ac:dyDescent="0.25">
      <c r="A120" s="5" t="s">
        <v>136</v>
      </c>
      <c r="B120" s="5" t="str">
        <f t="shared" si="2"/>
        <v>2024</v>
      </c>
      <c r="C120" s="5" t="str">
        <f t="shared" si="3"/>
        <v>Nov</v>
      </c>
      <c r="D120" s="1">
        <v>184158</v>
      </c>
      <c r="E120" s="3">
        <v>272.89999999999998</v>
      </c>
    </row>
    <row r="121" spans="1:5" x14ac:dyDescent="0.25">
      <c r="A121" s="5" t="s">
        <v>137</v>
      </c>
      <c r="B121" s="5" t="str">
        <f t="shared" si="2"/>
        <v>2024</v>
      </c>
      <c r="C121" s="5" t="str">
        <f t="shared" si="3"/>
        <v>Dec</v>
      </c>
      <c r="D121" s="1">
        <v>248592</v>
      </c>
      <c r="E121" s="3">
        <v>362.1</v>
      </c>
    </row>
    <row r="122" spans="1:5" x14ac:dyDescent="0.25">
      <c r="A122" s="5" t="s">
        <v>138</v>
      </c>
      <c r="B122" s="5" t="str">
        <f t="shared" si="2"/>
        <v>2025</v>
      </c>
      <c r="C122" s="5" t="str">
        <f t="shared" si="3"/>
        <v>Jan</v>
      </c>
      <c r="D122" s="1">
        <v>252761</v>
      </c>
      <c r="E122" s="3">
        <v>400.7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AVG exchage rate usd</vt:lpstr>
      <vt:lpstr>Sheet1</vt:lpstr>
      <vt:lpstr>gdp</vt:lpstr>
      <vt:lpstr>TBILL</vt:lpstr>
      <vt:lpstr>Import and Export</vt:lpstr>
      <vt:lpstr>Tourism</vt:lpstr>
      <vt:lpstr>'AVG exchage rate usd'!y_2015</vt:lpstr>
      <vt:lpstr>y_2016</vt:lpstr>
      <vt:lpstr>y_2017</vt:lpstr>
      <vt:lpstr>y_2018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Sachini Liyanage</dc:creator>
  <cp:lastModifiedBy>Sachini Liyanage</cp:lastModifiedBy>
  <dcterms:created xsi:type="dcterms:W3CDTF">2026-03-20T13:29:37Z</dcterms:created>
  <dcterms:modified xsi:type="dcterms:W3CDTF">2026-03-21T19:37:09Z</dcterms:modified>
</cp:coreProperties>
</file>